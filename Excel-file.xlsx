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Donalds" sheetId="1" r:id="rId5"/>
    <sheet state="visible" name="Starbucks" sheetId="2" r:id="rId6"/>
    <sheet state="visible" name="Starbucks-Cash Flow Statement" sheetId="3" r:id="rId7"/>
    <sheet state="visible" name="Mcdonalds-Cash Flow Statement" sheetId="4" r:id="rId8"/>
    <sheet state="hidden" name="DCF Valuation" sheetId="5" r:id="rId9"/>
    <sheet state="visible" name="SB Valuation" sheetId="6" r:id="rId10"/>
    <sheet state="visible" name="MD Valuation" sheetId="7" r:id="rId11"/>
    <sheet state="visible" name="Graphs" sheetId="8" r:id="rId12"/>
  </sheets>
  <definedNames/>
  <calcPr/>
</workbook>
</file>

<file path=xl/sharedStrings.xml><?xml version="1.0" encoding="utf-8"?>
<sst xmlns="http://schemas.openxmlformats.org/spreadsheetml/2006/main" count="490" uniqueCount="261">
  <si>
    <t>McDonald's</t>
  </si>
  <si>
    <t>Starbucks</t>
  </si>
  <si>
    <t>Income statement</t>
  </si>
  <si>
    <t>Balance Sheet</t>
  </si>
  <si>
    <r>
      <rPr>
        <rFont val="Times New Roman"/>
        <b/>
        <color theme="1"/>
        <sz val="12.0"/>
      </rPr>
      <t xml:space="preserve">STATEMENT OF CASH FLOWS
</t>
    </r>
    <r>
      <rPr>
        <rFont val="Times New Roman"/>
        <b val="0"/>
        <color theme="1"/>
        <sz val="7.0"/>
      </rPr>
      <t>All figures in millions USD</t>
    </r>
  </si>
  <si>
    <t xml:space="preserve">     
</t>
  </si>
  <si>
    <t xml:space="preserve">STATEMENT OF CASH FLOWS
</t>
  </si>
  <si>
    <t>Amount in USD</t>
  </si>
  <si>
    <t>Total Revenue</t>
  </si>
  <si>
    <t>Assets:</t>
  </si>
  <si>
    <t>Cost of Revenue</t>
  </si>
  <si>
    <t>CURRENT ASSETS</t>
  </si>
  <si>
    <t xml:space="preserve">                           Revenues</t>
  </si>
  <si>
    <t>Gross Profit</t>
  </si>
  <si>
    <t>Cash &amp; Cash Equivalents</t>
  </si>
  <si>
    <t>OPERATING ACTIVITIES</t>
  </si>
  <si>
    <t>Gross Profit Margin (%)</t>
  </si>
  <si>
    <t>Assets</t>
  </si>
  <si>
    <t>Accounts Receivable</t>
  </si>
  <si>
    <t>Operating Expenses</t>
  </si>
  <si>
    <t>Inventory</t>
  </si>
  <si>
    <t>Operating Income (EBIT)</t>
  </si>
  <si>
    <t>Net earnings</t>
  </si>
  <si>
    <t>Other Current Assets</t>
  </si>
  <si>
    <t>OPERATING COST AND EXPENSES</t>
  </si>
  <si>
    <t>Interest Expense</t>
  </si>
  <si>
    <t>Total Current Assets</t>
  </si>
  <si>
    <t>Net income</t>
  </si>
  <si>
    <t>Current Assets</t>
  </si>
  <si>
    <t>Adjustments to reconcile net earnings
 to cash provided by operating activities:</t>
  </si>
  <si>
    <t>Income Before Tax</t>
  </si>
  <si>
    <t>NON-CURRENT ASSETS</t>
  </si>
  <si>
    <t>Company-operated restaurant Expenses</t>
  </si>
  <si>
    <t>Adjustments to reconcile net income to cash provided by operating activities:</t>
  </si>
  <si>
    <t>Depreciation and amortization</t>
  </si>
  <si>
    <t>Income Tax Expense</t>
  </si>
  <si>
    <t>Property, Plant &amp; Equipment (Net)</t>
  </si>
  <si>
    <t>Net Income</t>
  </si>
  <si>
    <t>Deferred income taxes</t>
  </si>
  <si>
    <t>Goodwill</t>
  </si>
  <si>
    <t>Net Profit Margin (%)</t>
  </si>
  <si>
    <t>Cash and Equivalents</t>
  </si>
  <si>
    <t>Other Non-Current Assets</t>
  </si>
  <si>
    <t>Stock-based compensation</t>
  </si>
  <si>
    <t>Food &amp; Paper</t>
  </si>
  <si>
    <t>Total Non-Current Assets</t>
  </si>
  <si>
    <t>TOTAL ASSETS</t>
  </si>
  <si>
    <t>Accounts and Notes Receivable</t>
  </si>
  <si>
    <t>Other non-cash items</t>
  </si>
  <si>
    <t>Payroll and employee benefits</t>
  </si>
  <si>
    <t xml:space="preserve"> </t>
  </si>
  <si>
    <t>Loss (gain) on asset disposals</t>
  </si>
  <si>
    <t>CURRENT LIABILITIES</t>
  </si>
  <si>
    <t>Inventories</t>
  </si>
  <si>
    <t>Occupancy and other operating Expense</t>
  </si>
  <si>
    <t>Gains and losses on assets</t>
  </si>
  <si>
    <t>Prepaid Expenses and other current assets</t>
  </si>
  <si>
    <t>Franchised restaurant - occupancy cost</t>
  </si>
  <si>
    <t>Deferred income taxes and other</t>
  </si>
  <si>
    <t>Accounts Payable</t>
  </si>
  <si>
    <t>Changes in operating assets and liabilities:</t>
  </si>
  <si>
    <t>Short-Term Debt</t>
  </si>
  <si>
    <t>Accounts receivable</t>
  </si>
  <si>
    <t>Other Current Liabilities</t>
  </si>
  <si>
    <t>Total Current Liabilities</t>
  </si>
  <si>
    <t>NON-CURRENT LIABILITIES</t>
  </si>
  <si>
    <t>Long-Term Debt</t>
  </si>
  <si>
    <t>Accounts payable and other accruals</t>
  </si>
  <si>
    <t>Other Non-Current Liabilities</t>
  </si>
  <si>
    <t>Accounts payable and accrued expenses</t>
  </si>
  <si>
    <t>Total Non-Current Liabilities</t>
  </si>
  <si>
    <t>Other expenses</t>
  </si>
  <si>
    <t>TOTAL LIABILITIES</t>
  </si>
  <si>
    <t>Other operating activities</t>
  </si>
  <si>
    <t>Selling, Administrative &amp; General Expenses</t>
  </si>
  <si>
    <t>Operating lease liabilities and other</t>
  </si>
  <si>
    <t>STOCKHOLDERS' EQUITY</t>
  </si>
  <si>
    <t>Other Assets</t>
  </si>
  <si>
    <t>Depriciation and amortization</t>
  </si>
  <si>
    <t>Investments in and advances to affiliate</t>
  </si>
  <si>
    <t>Other operating (income) expense, net</t>
  </si>
  <si>
    <t>Common Stock</t>
  </si>
  <si>
    <t>Miscellaneous</t>
  </si>
  <si>
    <t>Retained Earnings</t>
  </si>
  <si>
    <t>NET CASH PROVIDED BY OPERATING ACTIVITIES</t>
  </si>
  <si>
    <t>Total operating costs and expenses</t>
  </si>
  <si>
    <t>Other Comprehensive Income</t>
  </si>
  <si>
    <t>Additional Calculations</t>
  </si>
  <si>
    <t>Total Stockholders' Equity</t>
  </si>
  <si>
    <t>Total Other Assets</t>
  </si>
  <si>
    <t>TOTAL LIABILITIES &amp; EQUITY</t>
  </si>
  <si>
    <t>INVESTING ACTIVITIES</t>
  </si>
  <si>
    <t>Shares Outstanding (Billion)</t>
  </si>
  <si>
    <t>Market Price per Share</t>
  </si>
  <si>
    <t>Capital expenditures (property, plant &amp; equipment)</t>
  </si>
  <si>
    <t>Market Value of Equity</t>
  </si>
  <si>
    <t>Purchases of investments</t>
  </si>
  <si>
    <t>Operating Income</t>
  </si>
  <si>
    <t>Proceeds from sale of assets</t>
  </si>
  <si>
    <t>Proceeds from sale of investments</t>
  </si>
  <si>
    <t>Lease right-of-use asset, net</t>
  </si>
  <si>
    <t>Business acquisitions</t>
  </si>
  <si>
    <t>Book Value per Share</t>
  </si>
  <si>
    <t>Interest expense-net of capitalised interest</t>
  </si>
  <si>
    <t>Property and Equipment</t>
  </si>
  <si>
    <t>Non-Operating (income) expense, net</t>
  </si>
  <si>
    <t>Property and Equipment, at cost</t>
  </si>
  <si>
    <t>Proceeds from divestitures</t>
  </si>
  <si>
    <t>Income before provision for income taxes</t>
  </si>
  <si>
    <t>Investment in securities</t>
  </si>
  <si>
    <t>Ratio Analysis</t>
  </si>
  <si>
    <t>Other investing activities</t>
  </si>
  <si>
    <t>Ratios</t>
  </si>
  <si>
    <t>Formulas</t>
  </si>
  <si>
    <t>Accumulated depriciation and amortization</t>
  </si>
  <si>
    <t>Provision for income taxes</t>
  </si>
  <si>
    <t>Liquidity Ratio</t>
  </si>
  <si>
    <t>Net property and equipment</t>
  </si>
  <si>
    <t>NET CASH USED IN INVESTING ACTIVITIES</t>
  </si>
  <si>
    <t>Current Ratio</t>
  </si>
  <si>
    <t>Current Asset/Current Liabilities</t>
  </si>
  <si>
    <t>Cash Ratio</t>
  </si>
  <si>
    <t>Cash &amp; Equivalents / Current Liabilities</t>
  </si>
  <si>
    <t>FINANCING ACTIVITIES</t>
  </si>
  <si>
    <t>Operating Cash Flow</t>
  </si>
  <si>
    <t xml:space="preserve"> Cash from Operations/ Current liabilities</t>
  </si>
  <si>
    <t>Proceeds from issuance of debt</t>
  </si>
  <si>
    <t>Total Assets</t>
  </si>
  <si>
    <t>Repayment of debt</t>
  </si>
  <si>
    <t>Common stock repurchases</t>
  </si>
  <si>
    <t>Dividend payments</t>
  </si>
  <si>
    <t>Activity Ratio</t>
  </si>
  <si>
    <t xml:space="preserve">Liabilities and Shareholders' Equity </t>
  </si>
  <si>
    <t>Inv. Turnover</t>
  </si>
  <si>
    <t>Other financing activities</t>
  </si>
  <si>
    <t>Current Liabilities</t>
  </si>
  <si>
    <t>COGS/Inventory</t>
  </si>
  <si>
    <t>Common Stock Holders' Equity</t>
  </si>
  <si>
    <t>Receivable Turnover</t>
  </si>
  <si>
    <t>Net sales/Accounts Recievable</t>
  </si>
  <si>
    <t>Total Asset Turnover</t>
  </si>
  <si>
    <t>Sales/Total Asset</t>
  </si>
  <si>
    <t xml:space="preserve">Short-term borrowings and and current maturities of long-term debt </t>
  </si>
  <si>
    <t>Profitabily Ratio</t>
  </si>
  <si>
    <t>NET CASH USED IN FINANCING ACTIVITIES</t>
  </si>
  <si>
    <t>Gross Profit Margin</t>
  </si>
  <si>
    <t>Gross Profit/Net Sales</t>
  </si>
  <si>
    <t>Operating Profit Margin</t>
  </si>
  <si>
    <t>EBIT/Sales</t>
  </si>
  <si>
    <t>Lease liability</t>
  </si>
  <si>
    <t>Net Profit Margin</t>
  </si>
  <si>
    <t>N.P/N.S</t>
  </si>
  <si>
    <t>Effect of exchange rate changes on cash and equivalents</t>
  </si>
  <si>
    <t>ROA</t>
  </si>
  <si>
    <t>Net Profit/T.A</t>
  </si>
  <si>
    <t>Income Taxes</t>
  </si>
  <si>
    <t>ROE</t>
  </si>
  <si>
    <t>NP/Total C.S Equity</t>
  </si>
  <si>
    <t>Other Taxes</t>
  </si>
  <si>
    <t>Debt to Asset</t>
  </si>
  <si>
    <t xml:space="preserve"> Total Debt / Total Assets</t>
  </si>
  <si>
    <t>Accured Interest</t>
  </si>
  <si>
    <t>NET INCREASE/(DECREASE) IN CASH AND CASH EQUIVALENTS</t>
  </si>
  <si>
    <t>Accured payroll and other liabilities</t>
  </si>
  <si>
    <t>Debt Management Ratio</t>
  </si>
  <si>
    <t>Debt to Equity</t>
  </si>
  <si>
    <t>Total liabilities/ Total Equity</t>
  </si>
  <si>
    <t>Time-Interest-Earned(TIE)</t>
  </si>
  <si>
    <t>EBIT/Interest Expense</t>
  </si>
  <si>
    <t>Market Ratio</t>
  </si>
  <si>
    <t>P/E</t>
  </si>
  <si>
    <t>CASH AND CASH EQUIVALENTS:</t>
  </si>
  <si>
    <t>Market price per share/EPS</t>
  </si>
  <si>
    <t>Market to Book</t>
  </si>
  <si>
    <t>Market value per share/Book Value per share</t>
  </si>
  <si>
    <t>Beginning of period</t>
  </si>
  <si>
    <t>EPS</t>
  </si>
  <si>
    <t>Ending of period</t>
  </si>
  <si>
    <t>Long Term Debt</t>
  </si>
  <si>
    <t>Long Term Lease Liability</t>
  </si>
  <si>
    <t>Long Term income taxes</t>
  </si>
  <si>
    <t>FREE CASH FLOW (OCF - Capex)</t>
  </si>
  <si>
    <t>Deffered Revenues - initial francise fees</t>
  </si>
  <si>
    <t>Other long-term liabilities</t>
  </si>
  <si>
    <t>Shareholders' equity (deficit)</t>
  </si>
  <si>
    <t>Preferred Stock</t>
  </si>
  <si>
    <t>-</t>
  </si>
  <si>
    <t>Common Stock, $0.01 par value; authorised 3.5 billion shares; issued - 1,660.6 million shares</t>
  </si>
  <si>
    <t>Additional paid-in capital</t>
  </si>
  <si>
    <t>Accumulated other comprehensive income (loss)</t>
  </si>
  <si>
    <t>FREE CASH FLOW (OCF - CapEx)</t>
  </si>
  <si>
    <t>Common stock in treasury, at cost; 937.9 and 929.3 million shares</t>
  </si>
  <si>
    <t>STARBUCKS VALUATION</t>
  </si>
  <si>
    <t>Total shareholders' equity (deficit)</t>
  </si>
  <si>
    <t>Base Revenue (2024)</t>
  </si>
  <si>
    <t>(Billion)</t>
  </si>
  <si>
    <t>High growth (Years 1–5)</t>
  </si>
  <si>
    <t>Mature growth (Years 6–10)</t>
  </si>
  <si>
    <t>FCF margin</t>
  </si>
  <si>
    <t>WACC</t>
  </si>
  <si>
    <t>Terminal Growth Rate</t>
  </si>
  <si>
    <t>No of Shares Outstanding</t>
  </si>
  <si>
    <t>Total Liabilities and shareholders' equity (deficit)</t>
  </si>
  <si>
    <t>Year</t>
  </si>
  <si>
    <t>Revenue ($B)</t>
  </si>
  <si>
    <t>FCF ($B)</t>
  </si>
  <si>
    <t>PV of FCF ($B)</t>
  </si>
  <si>
    <t>Operating Cashflow</t>
  </si>
  <si>
    <t>Additional Calculation</t>
  </si>
  <si>
    <t>Shares issued</t>
  </si>
  <si>
    <t>Common Stock in Treasury</t>
  </si>
  <si>
    <t>Shares Outstanding</t>
  </si>
  <si>
    <t>Current</t>
  </si>
  <si>
    <t>Stock Price(December)</t>
  </si>
  <si>
    <t>Market Value</t>
  </si>
  <si>
    <t>Cash &amp; Equivalents( in millions)</t>
  </si>
  <si>
    <t>PV of initial CF</t>
  </si>
  <si>
    <t>PV of TCF</t>
  </si>
  <si>
    <t>Total Enterprise Value</t>
  </si>
  <si>
    <t>Less: Value of Debt</t>
  </si>
  <si>
    <t>Total Value of Equity</t>
  </si>
  <si>
    <t>Price Per Share</t>
  </si>
  <si>
    <t>STARBUCK's FCFF</t>
  </si>
  <si>
    <t>Net Income ($B)</t>
  </si>
  <si>
    <t>Depreciation ($B)</t>
  </si>
  <si>
    <t>CapEx ($B)</t>
  </si>
  <si>
    <t>Net Working Capital ($B)</t>
  </si>
  <si>
    <t>FCFF ($B)</t>
  </si>
  <si>
    <t>McDonald's FCFF</t>
  </si>
  <si>
    <t>ΔWorking Capital ($B)</t>
  </si>
  <si>
    <t>STARBUCK's Projection of FCF for Next 5 years</t>
  </si>
  <si>
    <t>Assumed Revenue Growth</t>
  </si>
  <si>
    <t>FCF Margin (%)</t>
  </si>
  <si>
    <t>Projected FCFF ($B)</t>
  </si>
  <si>
    <t>PV of FCFF ($B)</t>
  </si>
  <si>
    <t>McDonald's Projection of FCF for Next 5 years</t>
  </si>
  <si>
    <t>STARBUCK's WACC CALCULATION</t>
  </si>
  <si>
    <t xml:space="preserve">Tax rate </t>
  </si>
  <si>
    <t>McDonald's WACC CALCULATION</t>
  </si>
  <si>
    <t>Component</t>
  </si>
  <si>
    <t>Weight (%)</t>
  </si>
  <si>
    <t>Cost (%)</t>
  </si>
  <si>
    <t>Weighted Cost (%)</t>
  </si>
  <si>
    <t>Equity</t>
  </si>
  <si>
    <t>Debt</t>
  </si>
  <si>
    <t>STARBUCK's Intrinsic Valuation Using DCF</t>
  </si>
  <si>
    <t>McDonald's Intrinsic Valuation Using DCF</t>
  </si>
  <si>
    <t>Terminal Value</t>
  </si>
  <si>
    <t>PV of Terminal Value</t>
  </si>
  <si>
    <t xml:space="preserve">Terminal Growth Rate </t>
  </si>
  <si>
    <t>Less: Net Debt</t>
  </si>
  <si>
    <t>Equity Value</t>
  </si>
  <si>
    <t>Shares Outstanding (M)</t>
  </si>
  <si>
    <t>Equity Value per Share ($)</t>
  </si>
  <si>
    <t>Market Comparison &amp; Recommendation</t>
  </si>
  <si>
    <t>DCF Value/Share ($)</t>
  </si>
  <si>
    <t>Market Price ($)</t>
  </si>
  <si>
    <t>Recommendation</t>
  </si>
  <si>
    <t>Undervalued by 45% → Buy/Hold</t>
  </si>
  <si>
    <t>Overvalued by 72% → Sell</t>
  </si>
  <si>
    <t>McDonalds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</si>
</sst>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0.0%"/>
    <numFmt numFmtId="167" formatCode="0.0"/>
  </numFmts>
  <fonts count="21">
    <font>
      <sz val="10.0"/>
      <color rgb="FF000000"/>
      <name val="Arial"/>
      <scheme val="minor"/>
    </font>
    <font>
      <sz val="12.0"/>
      <color theme="1"/>
      <name val="Times New Roman"/>
    </font>
    <font>
      <b/>
      <sz val="17.0"/>
      <color theme="1"/>
      <name val="Times New Roman"/>
    </font>
    <font>
      <b/>
      <sz val="18.0"/>
      <color rgb="FF000000"/>
      <name val="Times New Roman"/>
    </font>
    <font>
      <b/>
      <sz val="13.0"/>
      <color rgb="FF000000"/>
      <name val="Times New Roman"/>
    </font>
    <font>
      <b/>
      <sz val="12.0"/>
      <color rgb="FF000000"/>
      <name val="Times New Roman"/>
    </font>
    <font>
      <b/>
      <sz val="12.0"/>
      <color rgb="FFFFFFFF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/>
    <font>
      <color theme="1"/>
      <name val="Arial"/>
      <scheme val="minor"/>
    </font>
    <font>
      <b/>
      <i/>
      <sz val="12.0"/>
      <color rgb="FF000000"/>
      <name val="Times New Roman"/>
    </font>
    <font>
      <b/>
      <i/>
      <sz val="12.0"/>
      <color theme="1"/>
      <name val="Times New Roman"/>
    </font>
    <font>
      <b/>
      <color theme="1"/>
      <name val="Times New Roman"/>
    </font>
    <font>
      <i/>
      <sz val="12.0"/>
      <color rgb="FF000000"/>
      <name val="Times New Roman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Times New Roman"/>
    </font>
    <font>
      <color theme="1"/>
      <name val="Times New Roman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6B26B"/>
        <bgColor rgb="FFF6B26B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000000"/>
      </bottom>
    </border>
    <border>
      <right style="thin">
        <color rgb="FF356854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readingOrder="0" vertical="center"/>
    </xf>
    <xf borderId="1" fillId="6" fontId="6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readingOrder="0" vertical="center"/>
    </xf>
    <xf borderId="1" fillId="6" fontId="5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/>
    </xf>
    <xf borderId="2" fillId="5" fontId="8" numFmtId="0" xfId="0" applyAlignment="1" applyBorder="1" applyFill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center"/>
    </xf>
    <xf borderId="2" fillId="8" fontId="8" numFmtId="0" xfId="0" applyAlignment="1" applyBorder="1" applyFill="1" applyFont="1">
      <alignment horizontal="center" readingOrder="0" vertical="center"/>
    </xf>
    <xf borderId="3" fillId="0" fontId="9" numFmtId="0" xfId="0" applyBorder="1" applyFont="1"/>
    <xf borderId="1" fillId="0" fontId="8" numFmtId="0" xfId="0" applyAlignment="1" applyBorder="1" applyFont="1">
      <alignment horizontal="center" vertical="center"/>
    </xf>
    <xf borderId="4" fillId="0" fontId="9" numFmtId="0" xfId="0" applyBorder="1" applyFont="1"/>
    <xf borderId="0" fillId="0" fontId="1" numFmtId="0" xfId="0" applyAlignment="1" applyFon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 shrinkToFit="0" vertical="center" wrapText="0"/>
    </xf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" fillId="9" fontId="8" numFmtId="0" xfId="0" applyAlignment="1" applyBorder="1" applyFill="1" applyFont="1">
      <alignment horizontal="left" readingOrder="0"/>
    </xf>
    <xf borderId="0" fillId="9" fontId="8" numFmtId="164" xfId="0" applyAlignment="1" applyFill="1" applyFont="1" applyNumberFormat="1">
      <alignment horizontal="center" readingOrder="0"/>
    </xf>
    <xf borderId="0" fillId="0" fontId="7" numFmtId="0" xfId="0" applyAlignment="1" applyFont="1">
      <alignment horizontal="center" shrinkToFit="0" vertical="center" wrapText="0"/>
    </xf>
    <xf borderId="1" fillId="9" fontId="8" numFmtId="164" xfId="0" applyAlignment="1" applyBorder="1" applyFill="1" applyFont="1" applyNumberFormat="1">
      <alignment horizontal="center" readingOrder="0"/>
    </xf>
    <xf borderId="1" fillId="0" fontId="1" numFmtId="10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readingOrder="0"/>
    </xf>
    <xf borderId="6" fillId="0" fontId="7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2" fillId="0" fontId="1" numFmtId="0" xfId="0" applyAlignment="1" applyBorder="1" applyFont="1">
      <alignment horizontal="center"/>
    </xf>
    <xf borderId="6" fillId="0" fontId="5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7" numFmtId="165" xfId="0" applyAlignment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/>
    </xf>
    <xf borderId="6" fillId="0" fontId="7" numFmtId="165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/>
    </xf>
    <xf borderId="1" fillId="10" fontId="8" numFmtId="0" xfId="0" applyAlignment="1" applyBorder="1" applyFill="1" applyFont="1">
      <alignment horizontal="center" readingOrder="0" vertical="center"/>
    </xf>
    <xf borderId="7" fillId="0" fontId="1" numFmtId="0" xfId="0" applyAlignment="1" applyBorder="1" applyFont="1">
      <alignment horizontal="center"/>
    </xf>
    <xf borderId="1" fillId="10" fontId="1" numFmtId="3" xfId="0" applyAlignment="1" applyBorder="1" applyFill="1" applyFont="1" applyNumberFormat="1">
      <alignment horizontal="center" readingOrder="0" vertical="center"/>
    </xf>
    <xf borderId="8" fillId="0" fontId="1" numFmtId="0" xfId="0" applyAlignment="1" applyBorder="1" applyFont="1">
      <alignment horizontal="center"/>
    </xf>
    <xf borderId="0" fillId="0" fontId="7" numFmtId="165" xfId="0" applyAlignment="1" applyFont="1" applyNumberFormat="1">
      <alignment horizontal="center" shrinkToFit="0" vertical="center" wrapText="0"/>
    </xf>
    <xf borderId="9" fillId="0" fontId="1" numFmtId="0" xfId="0" applyAlignment="1" applyBorder="1" applyFont="1">
      <alignment horizontal="center"/>
    </xf>
    <xf borderId="6" fillId="0" fontId="7" numFmtId="165" xfId="0" applyAlignment="1" applyBorder="1" applyFont="1" applyNumberFormat="1">
      <alignment horizontal="center" shrinkToFit="0" vertical="center" wrapText="0"/>
    </xf>
    <xf borderId="10" fillId="0" fontId="1" numFmtId="3" xfId="0" applyAlignment="1" applyBorder="1" applyFont="1" applyNumberFormat="1">
      <alignment horizontal="center" readingOrder="0" vertical="center"/>
    </xf>
    <xf borderId="1" fillId="11" fontId="1" numFmtId="0" xfId="0" applyAlignment="1" applyBorder="1" applyFill="1" applyFont="1">
      <alignment horizontal="left" readingOrder="0"/>
    </xf>
    <xf borderId="11" fillId="0" fontId="9" numFmtId="0" xfId="0" applyBorder="1" applyFont="1"/>
    <xf borderId="12" fillId="0" fontId="9" numFmtId="0" xfId="0" applyBorder="1" applyFont="1"/>
    <xf borderId="10" fillId="0" fontId="8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3" xfId="0" applyAlignment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/>
    </xf>
    <xf borderId="13" fillId="10" fontId="1" numFmtId="3" xfId="0" applyAlignment="1" applyBorder="1" applyFill="1" applyFont="1" applyNumberFormat="1">
      <alignment horizontal="center" readingOrder="0" vertical="center"/>
    </xf>
    <xf borderId="1" fillId="0" fontId="1" numFmtId="0" xfId="0" applyAlignment="1" applyBorder="1" applyFont="1">
      <alignment horizontal="left" readingOrder="0"/>
    </xf>
    <xf borderId="10" fillId="0" fontId="8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" fillId="9" fontId="8" numFmtId="0" xfId="0" applyAlignment="1" applyBorder="1" applyFill="1" applyFont="1">
      <alignment horizontal="center" readingOrder="0"/>
    </xf>
    <xf borderId="14" fillId="0" fontId="1" numFmtId="3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3" fillId="0" fontId="1" numFmtId="3" xfId="0" applyAlignment="1" applyBorder="1" applyFont="1" applyNumberFormat="1">
      <alignment horizontal="center" readingOrder="0" vertical="center"/>
    </xf>
    <xf borderId="10" fillId="0" fontId="1" numFmtId="164" xfId="0" applyAlignment="1" applyBorder="1" applyFont="1" applyNumberFormat="1">
      <alignment horizontal="center" readingOrder="0"/>
    </xf>
    <xf borderId="11" fillId="0" fontId="1" numFmtId="3" xfId="0" applyAlignment="1" applyBorder="1" applyFont="1" applyNumberFormat="1">
      <alignment horizontal="center" readingOrder="0" vertical="center"/>
    </xf>
    <xf borderId="12" fillId="0" fontId="1" numFmtId="3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shrinkToFit="0" vertical="center" wrapText="0"/>
    </xf>
    <xf borderId="10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11" fontId="7" numFmtId="0" xfId="0" applyAlignment="1" applyBorder="1" applyFill="1" applyFon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1" fillId="9" fontId="1" numFmtId="164" xfId="0" applyAlignment="1" applyBorder="1" applyFill="1" applyFont="1" applyNumberFormat="1">
      <alignment horizontal="center"/>
    </xf>
    <xf borderId="15" fillId="4" fontId="5" numFmtId="0" xfId="0" applyAlignment="1" applyBorder="1" applyFill="1" applyFont="1">
      <alignment horizontal="center" readingOrder="0" vertical="center"/>
    </xf>
    <xf borderId="16" fillId="4" fontId="5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horizontal="center" readingOrder="0" vertical="center"/>
    </xf>
    <xf borderId="13" fillId="9" fontId="5" numFmtId="0" xfId="0" applyAlignment="1" applyBorder="1" applyFill="1" applyFont="1">
      <alignment horizontal="center" readingOrder="0" shrinkToFit="0" vertical="center" wrapText="1"/>
    </xf>
    <xf borderId="1" fillId="12" fontId="11" numFmtId="0" xfId="0" applyAlignment="1" applyBorder="1" applyFill="1" applyFont="1">
      <alignment horizontal="center" readingOrder="0" shrinkToFit="0" vertical="center" wrapText="1"/>
    </xf>
    <xf borderId="1" fillId="12" fontId="7" numFmtId="0" xfId="0" applyAlignment="1" applyBorder="1" applyFill="1" applyFont="1">
      <alignment horizontal="center" readingOrder="0" shrinkToFit="0" vertical="center" wrapText="1"/>
    </xf>
    <xf borderId="17" fillId="0" fontId="9" numFmtId="0" xfId="0" applyBorder="1" applyFont="1"/>
    <xf borderId="1" fillId="12" fontId="7" numFmtId="4" xfId="0" applyAlignment="1" applyBorder="1" applyFill="1" applyFont="1" applyNumberFormat="1">
      <alignment horizontal="center" readingOrder="0" shrinkToFit="0" vertical="center" wrapText="1"/>
    </xf>
    <xf borderId="14" fillId="0" fontId="9" numFmtId="0" xfId="0" applyBorder="1" applyFont="1"/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11" fontId="11" numFmtId="0" xfId="0" applyAlignment="1" applyBorder="1" applyFill="1" applyFont="1">
      <alignment horizontal="center" readingOrder="0" shrinkToFit="0" vertical="center" wrapText="1"/>
    </xf>
    <xf borderId="1" fillId="11" fontId="7" numFmtId="0" xfId="0" applyAlignment="1" applyBorder="1" applyFill="1" applyFont="1">
      <alignment horizontal="center" readingOrder="0" shrinkToFit="0" vertical="center" wrapText="1"/>
    </xf>
    <xf borderId="1" fillId="9" fontId="8" numFmtId="0" xfId="0" applyAlignment="1" applyBorder="1" applyFill="1" applyFont="1">
      <alignment horizontal="left" readingOrder="0" shrinkToFit="0" vertical="center" wrapText="1"/>
    </xf>
    <xf borderId="1" fillId="9" fontId="8" numFmtId="164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/>
    </xf>
    <xf borderId="1" fillId="12" fontId="7" numFmtId="10" xfId="0" applyAlignment="1" applyBorder="1" applyFill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left" readingOrder="0"/>
    </xf>
    <xf borderId="1" fillId="11" fontId="7" numFmtId="10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1" fillId="11" fontId="7" numFmtId="9" xfId="0" applyAlignment="1" applyBorder="1" applyFill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12" fontId="5" numFmtId="0" xfId="0" applyAlignment="1" applyFill="1" applyFont="1">
      <alignment horizontal="center" readingOrder="0" vertical="center"/>
    </xf>
    <xf borderId="0" fillId="12" fontId="14" numFmtId="0" xfId="0" applyAlignment="1" applyFill="1" applyFont="1">
      <alignment horizontal="center" vertical="center"/>
    </xf>
    <xf borderId="0" fillId="12" fontId="7" numFmtId="0" xfId="0" applyAlignment="1" applyFill="1" applyFont="1">
      <alignment horizontal="center" vertical="center"/>
    </xf>
    <xf borderId="7" fillId="10" fontId="5" numFmtId="0" xfId="0" applyAlignment="1" applyBorder="1" applyFill="1" applyFont="1">
      <alignment horizontal="center" readingOrder="0" shrinkToFit="0" vertical="center" wrapText="0"/>
    </xf>
    <xf borderId="0" fillId="0" fontId="8" numFmtId="0" xfId="0" applyAlignment="1" applyFont="1">
      <alignment readingOrder="0"/>
    </xf>
    <xf borderId="8" fillId="10" fontId="5" numFmtId="165" xfId="0" applyAlignment="1" applyBorder="1" applyFill="1" applyFont="1" applyNumberFormat="1">
      <alignment horizontal="center" readingOrder="0" shrinkToFit="0" vertical="center" wrapText="0"/>
    </xf>
    <xf borderId="9" fillId="10" fontId="5" numFmtId="165" xfId="0" applyAlignment="1" applyBorder="1" applyFill="1" applyFont="1" applyNumberFormat="1">
      <alignment horizontal="center" readingOrder="0" shrinkToFit="0" vertical="center" wrapText="0"/>
    </xf>
    <xf borderId="1" fillId="9" fontId="1" numFmtId="0" xfId="0" applyAlignment="1" applyBorder="1" applyFill="1" applyFont="1">
      <alignment horizontal="center" readingOrder="0"/>
    </xf>
    <xf borderId="1" fillId="9" fontId="1" numFmtId="164" xfId="0" applyAlignment="1" applyBorder="1" applyFill="1" applyFont="1" applyNumberFormat="1">
      <alignment horizontal="center" readingOrder="0"/>
    </xf>
    <xf borderId="7" fillId="13" fontId="5" numFmtId="0" xfId="0" applyAlignment="1" applyBorder="1" applyFill="1" applyFont="1">
      <alignment horizontal="center" readingOrder="0" shrinkToFit="0" vertical="center" wrapText="0"/>
    </xf>
    <xf borderId="8" fillId="13" fontId="5" numFmtId="165" xfId="0" applyAlignment="1" applyBorder="1" applyFill="1" applyFont="1" applyNumberFormat="1">
      <alignment horizontal="center" readingOrder="0" shrinkToFit="0" vertical="center" wrapText="0"/>
    </xf>
    <xf borderId="0" fillId="5" fontId="15" numFmtId="0" xfId="0" applyAlignment="1" applyFill="1" applyFont="1">
      <alignment horizontal="center" readingOrder="0"/>
    </xf>
    <xf borderId="1" fillId="11" fontId="8" numFmtId="0" xfId="0" applyAlignment="1" applyBorder="1" applyFill="1" applyFont="1">
      <alignment horizontal="center" readingOrder="0"/>
    </xf>
    <xf borderId="9" fillId="13" fontId="5" numFmtId="165" xfId="0" applyAlignment="1" applyBorder="1" applyFill="1" applyFont="1" applyNumberForma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9" xfId="0" applyAlignment="1" applyFont="1" applyNumberFormat="1">
      <alignment readingOrder="0"/>
    </xf>
    <xf borderId="1" fillId="11" fontId="8" numFmtId="164" xfId="0" applyAlignment="1" applyBorder="1" applyFill="1" applyFont="1" applyNumberFormat="1">
      <alignment horizontal="center" readingOrder="0"/>
    </xf>
    <xf borderId="0" fillId="0" fontId="10" numFmtId="0" xfId="0" applyAlignment="1" applyFont="1">
      <alignment horizontal="left" readingOrder="0" vertical="center"/>
    </xf>
    <xf borderId="0" fillId="0" fontId="10" numFmtId="0" xfId="0" applyAlignment="1" applyFont="1">
      <alignment horizontal="right" readingOrder="0" vertical="center"/>
    </xf>
    <xf borderId="0" fillId="0" fontId="10" numFmtId="0" xfId="0" applyAlignment="1" applyFont="1">
      <alignment horizontal="left" readingOrder="0" vertical="center"/>
    </xf>
    <xf borderId="0" fillId="0" fontId="16" numFmtId="0" xfId="0" applyAlignment="1" applyFont="1">
      <alignment horizontal="center" readingOrder="0" vertical="center"/>
    </xf>
    <xf borderId="0" fillId="0" fontId="10" numFmtId="164" xfId="0" applyFont="1" applyNumberFormat="1"/>
    <xf borderId="1" fillId="0" fontId="10" numFmtId="164" xfId="0" applyAlignment="1" applyBorder="1" applyFont="1" applyNumberFormat="1">
      <alignment horizontal="center" readingOrder="0"/>
    </xf>
    <xf borderId="1" fillId="0" fontId="10" numFmtId="164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1" fillId="9" fontId="16" numFmtId="164" xfId="0" applyAlignment="1" applyBorder="1" applyFill="1" applyFont="1" applyNumberFormat="1">
      <alignment horizontal="center" readingOrder="0"/>
    </xf>
    <xf borderId="0" fillId="0" fontId="1" numFmtId="0" xfId="0" applyAlignment="1" applyFont="1">
      <alignment readingOrder="0"/>
    </xf>
    <xf borderId="2" fillId="9" fontId="17" numFmtId="0" xfId="0" applyAlignment="1" applyBorder="1" applyFill="1" applyFon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14" fillId="0" fontId="8" numFmtId="4" xfId="0" applyAlignment="1" applyBorder="1" applyFont="1" applyNumberFormat="1">
      <alignment horizontal="center" readingOrder="0" vertical="center"/>
    </xf>
    <xf borderId="1" fillId="0" fontId="8" numFmtId="4" xfId="0" applyAlignment="1" applyBorder="1" applyFont="1" applyNumberFormat="1">
      <alignment horizontal="center" readingOrder="0" vertical="center"/>
    </xf>
    <xf borderId="15" fillId="4" fontId="5" numFmtId="0" xfId="0" applyAlignment="1" applyBorder="1" applyFill="1" applyFont="1">
      <alignment horizontal="center" readingOrder="0" vertical="bottom"/>
    </xf>
    <xf borderId="16" fillId="4" fontId="5" numFmtId="0" xfId="0" applyAlignment="1" applyBorder="1" applyFill="1" applyFont="1">
      <alignment horizontal="center" readingOrder="0" vertical="bottom"/>
    </xf>
    <xf borderId="4" fillId="4" fontId="5" numFmtId="0" xfId="0" applyAlignment="1" applyBorder="1" applyFill="1" applyFont="1">
      <alignment horizontal="center" readingOrder="0" vertical="bottom"/>
    </xf>
    <xf borderId="1" fillId="0" fontId="8" numFmtId="4" xfId="0" applyAlignment="1" applyBorder="1" applyFont="1" applyNumberFormat="1">
      <alignment horizontal="center" vertical="center"/>
    </xf>
    <xf borderId="1" fillId="12" fontId="7" numFmtId="0" xfId="0" applyAlignment="1" applyBorder="1" applyFill="1" applyFont="1">
      <alignment horizontal="center" readingOrder="0" vertical="bottom"/>
    </xf>
    <xf borderId="1" fillId="0" fontId="8" numFmtId="164" xfId="0" applyAlignment="1" applyBorder="1" applyFont="1" applyNumberFormat="1">
      <alignment horizontal="center" readingOrder="0" vertical="center"/>
    </xf>
    <xf borderId="1" fillId="12" fontId="7" numFmtId="4" xfId="0" applyAlignment="1" applyBorder="1" applyFill="1" applyFont="1" applyNumberFormat="1">
      <alignment horizontal="center" readingOrder="0" vertical="bottom"/>
    </xf>
    <xf borderId="1" fillId="0" fontId="13" numFmtId="164" xfId="0" applyAlignment="1" applyBorder="1" applyFont="1" applyNumberFormat="1">
      <alignment horizontal="center" vertical="center"/>
    </xf>
    <xf borderId="8" fillId="0" fontId="10" numFmtId="0" xfId="0" applyAlignment="1" applyBorder="1" applyFont="1">
      <alignment readingOrder="0"/>
    </xf>
    <xf borderId="8" fillId="0" fontId="10" numFmtId="164" xfId="0" applyBorder="1" applyFont="1" applyNumberFormat="1"/>
    <xf borderId="1" fillId="11" fontId="7" numFmtId="0" xfId="0" applyAlignment="1" applyBorder="1" applyFill="1" applyFont="1">
      <alignment horizontal="center" readingOrder="0" vertical="bottom"/>
    </xf>
    <xf borderId="1" fillId="0" fontId="13" numFmtId="165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horizontal="right" readingOrder="0"/>
    </xf>
    <xf borderId="1" fillId="0" fontId="1" numFmtId="0" xfId="0" applyAlignment="1" applyBorder="1" applyFont="1">
      <alignment readingOrder="0"/>
    </xf>
    <xf borderId="1" fillId="0" fontId="18" numFmtId="0" xfId="0" applyBorder="1" applyFont="1"/>
    <xf borderId="1" fillId="0" fontId="10" numFmtId="0" xfId="0" applyBorder="1" applyFont="1"/>
    <xf borderId="8" fillId="0" fontId="16" numFmtId="0" xfId="0" applyAlignment="1" applyBorder="1" applyFont="1">
      <alignment horizontal="right" readingOrder="0"/>
    </xf>
    <xf borderId="1" fillId="0" fontId="1" numFmtId="0" xfId="0" applyBorder="1" applyFont="1"/>
    <xf borderId="0" fillId="0" fontId="18" numFmtId="0" xfId="0" applyFont="1"/>
    <xf borderId="1" fillId="11" fontId="7" numFmtId="10" xfId="0" applyAlignment="1" applyBorder="1" applyFill="1" applyFont="1" applyNumberFormat="1">
      <alignment horizontal="center" readingOrder="0" vertical="bottom"/>
    </xf>
    <xf borderId="10" fillId="0" fontId="16" numFmtId="0" xfId="0" applyAlignment="1" applyBorder="1" applyFont="1">
      <alignment horizontal="center" readingOrder="0"/>
    </xf>
    <xf borderId="1" fillId="0" fontId="10" numFmtId="164" xfId="0" applyBorder="1" applyFont="1" applyNumberFormat="1"/>
    <xf borderId="1" fillId="12" fontId="7" numFmtId="10" xfId="0" applyAlignment="1" applyBorder="1" applyFill="1" applyFont="1" applyNumberFormat="1">
      <alignment horizontal="center" readingOrder="0" vertical="bottom"/>
    </xf>
    <xf borderId="1" fillId="11" fontId="7" numFmtId="4" xfId="0" applyAlignment="1" applyBorder="1" applyFill="1" applyFont="1" applyNumberFormat="1">
      <alignment horizontal="center" readingOrder="0" vertical="bottom"/>
    </xf>
    <xf borderId="0" fillId="0" fontId="7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vertical="center" wrapText="1"/>
    </xf>
    <xf borderId="1" fillId="0" fontId="8" numFmtId="164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/>
    </xf>
    <xf borderId="0" fillId="0" fontId="1" numFmtId="0" xfId="0" applyAlignment="1" applyFont="1">
      <alignment readingOrder="0" shrinkToFit="0" vertical="center" wrapText="1"/>
    </xf>
    <xf borderId="0" fillId="11" fontId="5" numFmtId="0" xfId="0" applyAlignment="1" applyFill="1" applyFont="1">
      <alignment horizontal="center" readingOrder="0" shrinkToFit="0" vertical="center" wrapText="1"/>
    </xf>
    <xf borderId="10" fillId="5" fontId="8" numFmtId="0" xfId="0" applyAlignment="1" applyBorder="1" applyFill="1" applyFont="1">
      <alignment horizontal="center" readingOrder="0" vertical="center"/>
    </xf>
    <xf borderId="5" fillId="0" fontId="16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readingOrder="0" vertical="center"/>
    </xf>
    <xf borderId="0" fillId="0" fontId="10" numFmtId="9" xfId="0" applyAlignment="1" applyFont="1" applyNumberForma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0" fillId="0" fontId="10" numFmtId="4" xfId="0" applyAlignment="1" applyFont="1" applyNumberFormat="1">
      <alignment horizontal="center" readingOrder="0" vertical="center"/>
    </xf>
    <xf borderId="10" fillId="8" fontId="8" numFmtId="0" xfId="0" applyAlignment="1" applyBorder="1" applyFill="1" applyFont="1">
      <alignment horizontal="center" readingOrder="0" vertical="center"/>
    </xf>
    <xf borderId="6" fillId="0" fontId="10" numFmtId="4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horizontal="center" readingOrder="0" vertical="center"/>
    </xf>
    <xf borderId="8" fillId="0" fontId="10" numFmtId="4" xfId="0" applyAlignment="1" applyBorder="1" applyFont="1" applyNumberFormat="1">
      <alignment horizontal="center" readingOrder="0" vertical="center"/>
    </xf>
    <xf borderId="9" fillId="0" fontId="10" numFmtId="4" xfId="0" applyAlignment="1" applyBorder="1" applyFont="1" applyNumberFormat="1">
      <alignment horizontal="center" vertical="center"/>
    </xf>
    <xf borderId="0" fillId="0" fontId="16" numFmtId="9" xfId="0" applyAlignment="1" applyFont="1" applyNumberFormat="1">
      <alignment horizontal="center" readingOrder="0" vertical="center"/>
    </xf>
    <xf borderId="0" fillId="0" fontId="10" numFmtId="4" xfId="0" applyAlignment="1" applyFont="1" applyNumberFormat="1">
      <alignment horizontal="center" vertical="center"/>
    </xf>
    <xf borderId="6" fillId="0" fontId="10" numFmtId="4" xfId="0" applyAlignment="1" applyBorder="1" applyFont="1" applyNumberFormat="1">
      <alignment horizontal="center" readingOrder="0" vertical="center"/>
    </xf>
    <xf borderId="8" fillId="0" fontId="10" numFmtId="4" xfId="0" applyAlignment="1" applyBorder="1" applyFont="1" applyNumberFormat="1">
      <alignment horizontal="center" vertical="center"/>
    </xf>
    <xf borderId="9" fillId="0" fontId="10" numFmtId="4" xfId="0" applyAlignment="1" applyBorder="1" applyFont="1" applyNumberFormat="1">
      <alignment horizontal="center" readingOrder="0" vertical="center"/>
    </xf>
    <xf borderId="8" fillId="0" fontId="10" numFmtId="9" xfId="0" applyAlignment="1" applyBorder="1" applyFont="1" applyNumberFormat="1">
      <alignment horizontal="center" readingOrder="0" vertical="center"/>
    </xf>
    <xf borderId="10" fillId="7" fontId="16" numFmtId="0" xfId="0" applyAlignment="1" applyBorder="1" applyFill="1" applyFont="1">
      <alignment horizontal="center" readingOrder="0" vertical="center"/>
    </xf>
    <xf borderId="12" fillId="7" fontId="16" numFmtId="9" xfId="0" applyAlignment="1" applyBorder="1" applyFill="1" applyFont="1" applyNumberFormat="1">
      <alignment horizontal="center" readingOrder="0" vertical="center"/>
    </xf>
    <xf borderId="10" fillId="6" fontId="16" numFmtId="0" xfId="0" applyAlignment="1" applyBorder="1" applyFill="1" applyFont="1">
      <alignment horizontal="center" readingOrder="0" vertical="center"/>
    </xf>
    <xf borderId="12" fillId="6" fontId="16" numFmtId="9" xfId="0" applyAlignment="1" applyBorder="1" applyFill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11" fillId="7" fontId="16" numFmtId="0" xfId="0" applyAlignment="1" applyBorder="1" applyFill="1" applyFont="1">
      <alignment horizontal="center" vertical="center"/>
    </xf>
    <xf borderId="12" fillId="7" fontId="16" numFmtId="166" xfId="0" applyAlignment="1" applyBorder="1" applyFill="1" applyFont="1" applyNumberFormat="1">
      <alignment horizontal="center" readingOrder="0" vertical="center"/>
    </xf>
    <xf borderId="10" fillId="9" fontId="16" numFmtId="0" xfId="0" applyAlignment="1" applyBorder="1" applyFill="1" applyFont="1">
      <alignment horizontal="center" readingOrder="0" vertical="center"/>
    </xf>
    <xf borderId="11" fillId="9" fontId="16" numFmtId="0" xfId="0" applyAlignment="1" applyBorder="1" applyFill="1" applyFont="1">
      <alignment horizontal="center" vertical="center"/>
    </xf>
    <xf borderId="12" fillId="9" fontId="16" numFmtId="4" xfId="0" applyAlignment="1" applyBorder="1" applyFill="1" applyFont="1" applyNumberFormat="1">
      <alignment horizontal="center" vertical="center"/>
    </xf>
    <xf borderId="6" fillId="0" fontId="10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vertical="center"/>
    </xf>
    <xf borderId="10" fillId="10" fontId="16" numFmtId="0" xfId="0" applyAlignment="1" applyBorder="1" applyFill="1" applyFont="1">
      <alignment horizontal="center" readingOrder="0" vertical="center"/>
    </xf>
    <xf borderId="11" fillId="10" fontId="16" numFmtId="0" xfId="0" applyAlignment="1" applyBorder="1" applyFill="1" applyFont="1">
      <alignment horizontal="center" vertical="center"/>
    </xf>
    <xf borderId="12" fillId="10" fontId="16" numFmtId="167" xfId="0" applyAlignment="1" applyBorder="1" applyFill="1" applyFont="1" applyNumberFormat="1">
      <alignment horizontal="center" readingOrder="0" vertical="center"/>
    </xf>
    <xf borderId="10" fillId="5" fontId="19" numFmtId="0" xfId="0" applyAlignment="1" applyBorder="1" applyFill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5" fillId="0" fontId="19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center"/>
    </xf>
    <xf borderId="11" fillId="9" fontId="10" numFmtId="0" xfId="0" applyAlignment="1" applyBorder="1" applyFill="1" applyFont="1">
      <alignment horizontal="center" vertical="center"/>
    </xf>
    <xf borderId="12" fillId="9" fontId="16" numFmtId="0" xfId="0" applyAlignment="1" applyBorder="1" applyFill="1" applyFont="1">
      <alignment horizontal="center" readingOrder="0" vertical="center"/>
    </xf>
    <xf borderId="10" fillId="7" fontId="19" numFmtId="0" xfId="0" applyAlignment="1" applyBorder="1" applyFill="1" applyFont="1">
      <alignment horizontal="center" readingOrder="0" vertical="center"/>
    </xf>
    <xf borderId="11" fillId="7" fontId="19" numFmtId="167" xfId="0" applyAlignment="1" applyBorder="1" applyFill="1" applyFont="1" applyNumberFormat="1">
      <alignment horizontal="center" readingOrder="0" vertical="center"/>
    </xf>
    <xf borderId="11" fillId="7" fontId="19" numFmtId="0" xfId="0" applyAlignment="1" applyBorder="1" applyFill="1" applyFont="1">
      <alignment horizontal="center" readingOrder="0" vertical="center"/>
    </xf>
    <xf borderId="12" fillId="7" fontId="19" numFmtId="0" xfId="0" applyAlignment="1" applyBorder="1" applyFill="1" applyFont="1">
      <alignment horizontal="center" readingOrder="0" vertical="center"/>
    </xf>
    <xf borderId="10" fillId="8" fontId="19" numFmtId="0" xfId="0" applyAlignment="1" applyBorder="1" applyFill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10" fillId="9" fontId="19" numFmtId="0" xfId="0" applyAlignment="1" applyBorder="1" applyFill="1" applyFont="1">
      <alignment horizontal="center" readingOrder="0" vertical="center"/>
    </xf>
    <xf borderId="11" fillId="9" fontId="19" numFmtId="0" xfId="0" applyAlignment="1" applyBorder="1" applyFill="1" applyFont="1">
      <alignment horizontal="center" readingOrder="0" vertical="center"/>
    </xf>
    <xf borderId="12" fillId="9" fontId="19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none"/>
      </fill>
      <border/>
    </dxf>
  </dxfs>
  <tableStyles count="2">
    <tableStyle count="3" pivot="0" name="Mcdonalds-Cash Flow Statement-style">
      <tableStyleElement dxfId="1" type="headerRow"/>
      <tableStyleElement dxfId="2" type="firstRowStripe"/>
      <tableStyleElement dxfId="3" type="secondRowStripe"/>
    </tableStyle>
    <tableStyle count="3" pivot="0" name="Starbucks-Cash Flow Stateme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Ratio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Graphs!$A$2:$A$4</c:f>
            </c:strRef>
          </c:cat>
          <c:val>
            <c:numRef>
              <c:f>Graphs!$B$2:$B$4</c:f>
              <c:numCache/>
            </c:numRef>
          </c:val>
        </c:ser>
        <c:ser>
          <c:idx val="1"/>
          <c:order val="1"/>
          <c:tx>
            <c:strRef>
              <c:f>Graphs!$C$1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Graphs!$A$2:$A$4</c:f>
            </c:strRef>
          </c:cat>
          <c:val>
            <c:numRef>
              <c:f>Graphs!$C$2:$C$4</c:f>
              <c:numCache/>
            </c:numRef>
          </c:val>
        </c:ser>
        <c:axId val="2050592769"/>
        <c:axId val="1355880441"/>
      </c:barChart>
      <c:catAx>
        <c:axId val="2050592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880441"/>
      </c:catAx>
      <c:valAx>
        <c:axId val="1355880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592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Ratio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Graphs!$B$24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Graphs!$A$25:$A$27</c:f>
            </c:strRef>
          </c:cat>
          <c:val>
            <c:numRef>
              <c:f>Graphs!$B$25:$B$27</c:f>
              <c:numCache/>
            </c:numRef>
          </c:val>
        </c:ser>
        <c:ser>
          <c:idx val="1"/>
          <c:order val="1"/>
          <c:tx>
            <c:strRef>
              <c:f>Graphs!$C$24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Graphs!$A$25:$A$27</c:f>
            </c:strRef>
          </c:cat>
          <c:val>
            <c:numRef>
              <c:f>Graphs!$C$25:$C$27</c:f>
              <c:numCache/>
            </c:numRef>
          </c:val>
        </c:ser>
        <c:axId val="898060757"/>
        <c:axId val="256868134"/>
      </c:barChart>
      <c:catAx>
        <c:axId val="8980607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868134"/>
      </c:catAx>
      <c:valAx>
        <c:axId val="2568681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0607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Operating Profit Margin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Graphs!$I$9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Graphs!$H$10:$H$12</c:f>
            </c:strRef>
          </c:cat>
          <c:val>
            <c:numRef>
              <c:f>Graphs!$I$10:$I$12</c:f>
              <c:numCache/>
            </c:numRef>
          </c:val>
        </c:ser>
        <c:ser>
          <c:idx val="1"/>
          <c:order val="1"/>
          <c:tx>
            <c:strRef>
              <c:f>Graphs!$J$9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Graphs!$H$10:$H$12</c:f>
            </c:strRef>
          </c:cat>
          <c:val>
            <c:numRef>
              <c:f>Graphs!$J$10:$J$12</c:f>
              <c:numCache/>
            </c:numRef>
          </c:val>
        </c:ser>
        <c:axId val="365937259"/>
        <c:axId val="1760398787"/>
      </c:barChart>
      <c:catAx>
        <c:axId val="3659372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398787"/>
      </c:catAx>
      <c:valAx>
        <c:axId val="17603987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9372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Receivable Turnover Ratio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Graphs!$I$29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Graphs!$H$30:$H$32</c:f>
            </c:strRef>
          </c:cat>
          <c:val>
            <c:numRef>
              <c:f>Graphs!$I$30:$I$32</c:f>
              <c:numCache/>
            </c:numRef>
          </c:val>
        </c:ser>
        <c:ser>
          <c:idx val="1"/>
          <c:order val="1"/>
          <c:tx>
            <c:strRef>
              <c:f>Graphs!$J$29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Graphs!$H$30:$H$32</c:f>
            </c:strRef>
          </c:cat>
          <c:val>
            <c:numRef>
              <c:f>Graphs!$J$30:$J$32</c:f>
              <c:numCache/>
            </c:numRef>
          </c:val>
        </c:ser>
        <c:axId val="19735141"/>
        <c:axId val="1486613559"/>
      </c:barChart>
      <c:catAx>
        <c:axId val="197351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613559"/>
      </c:catAx>
      <c:valAx>
        <c:axId val="14866135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51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Asset Turnover Ratio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Graphs!$B$36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Graphs!$A$37:$A$39</c:f>
            </c:strRef>
          </c:cat>
          <c:val>
            <c:numRef>
              <c:f>Graphs!$B$37:$B$39</c:f>
              <c:numCache/>
            </c:numRef>
          </c:val>
        </c:ser>
        <c:ser>
          <c:idx val="1"/>
          <c:order val="1"/>
          <c:tx>
            <c:strRef>
              <c:f>Graphs!$C$36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Graphs!$A$37:$A$39</c:f>
            </c:strRef>
          </c:cat>
          <c:val>
            <c:numRef>
              <c:f>Graphs!$C$37:$C$39</c:f>
              <c:numCache/>
            </c:numRef>
          </c:val>
        </c:ser>
        <c:axId val="1039428055"/>
        <c:axId val="1920815937"/>
      </c:barChart>
      <c:catAx>
        <c:axId val="10394280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815937"/>
      </c:catAx>
      <c:valAx>
        <c:axId val="19208159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4280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Gross Profit Margin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Graphs!$I$36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Graphs!$H$37:$H$39</c:f>
            </c:strRef>
          </c:cat>
          <c:val>
            <c:numRef>
              <c:f>Graphs!$I$37:$I$39</c:f>
              <c:numCache/>
            </c:numRef>
          </c:val>
        </c:ser>
        <c:ser>
          <c:idx val="1"/>
          <c:order val="1"/>
          <c:tx>
            <c:strRef>
              <c:f>Graphs!$J$36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Graphs!$H$37:$H$39</c:f>
            </c:strRef>
          </c:cat>
          <c:val>
            <c:numRef>
              <c:f>Graphs!$J$37:$J$39</c:f>
              <c:numCache/>
            </c:numRef>
          </c:val>
        </c:ser>
        <c:axId val="871670331"/>
        <c:axId val="87137658"/>
      </c:barChart>
      <c:catAx>
        <c:axId val="8716703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37658"/>
      </c:catAx>
      <c:valAx>
        <c:axId val="871376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6703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Profit Margin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Graphs!$C$50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Graphs!$B$51:$B$53</c:f>
            </c:strRef>
          </c:cat>
          <c:val>
            <c:numRef>
              <c:f>Graphs!$C$51:$C$53</c:f>
              <c:numCache/>
            </c:numRef>
          </c:val>
        </c:ser>
        <c:ser>
          <c:idx val="1"/>
          <c:order val="1"/>
          <c:tx>
            <c:strRef>
              <c:f>Graphs!$D$50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Graphs!$B$51:$B$53</c:f>
            </c:strRef>
          </c:cat>
          <c:val>
            <c:numRef>
              <c:f>Graphs!$D$51:$D$53</c:f>
              <c:numCache/>
            </c:numRef>
          </c:val>
        </c:ser>
        <c:axId val="2036453271"/>
        <c:axId val="1901030164"/>
      </c:barChart>
      <c:catAx>
        <c:axId val="20364532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030164"/>
      </c:catAx>
      <c:valAx>
        <c:axId val="19010301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4532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on Assets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Graphs!$B$63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Graphs!$A$64:$A$66</c:f>
            </c:strRef>
          </c:cat>
          <c:val>
            <c:numRef>
              <c:f>Graphs!$B$64:$B$66</c:f>
              <c:numCache/>
            </c:numRef>
          </c:val>
        </c:ser>
        <c:ser>
          <c:idx val="1"/>
          <c:order val="1"/>
          <c:tx>
            <c:strRef>
              <c:f>Graphs!$C$63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Graphs!$A$64:$A$66</c:f>
            </c:strRef>
          </c:cat>
          <c:val>
            <c:numRef>
              <c:f>Graphs!$C$64:$C$66</c:f>
              <c:numCache/>
            </c:numRef>
          </c:val>
        </c:ser>
        <c:axId val="1853031429"/>
        <c:axId val="1084365122"/>
      </c:barChart>
      <c:catAx>
        <c:axId val="18530314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365122"/>
      </c:catAx>
      <c:valAx>
        <c:axId val="10843651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0314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Times Interest Earned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Graphs!$I$57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Graphs!$H$58:$H$60</c:f>
            </c:strRef>
          </c:cat>
          <c:val>
            <c:numRef>
              <c:f>Graphs!$I$58:$I$60</c:f>
              <c:numCache/>
            </c:numRef>
          </c:val>
        </c:ser>
        <c:ser>
          <c:idx val="1"/>
          <c:order val="1"/>
          <c:tx>
            <c:strRef>
              <c:f>Graphs!$J$57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Graphs!$H$58:$H$60</c:f>
            </c:strRef>
          </c:cat>
          <c:val>
            <c:numRef>
              <c:f>Graphs!$J$58:$J$60</c:f>
              <c:numCache/>
            </c:numRef>
          </c:val>
        </c:ser>
        <c:axId val="700671336"/>
        <c:axId val="1652723295"/>
      </c:barChart>
      <c:catAx>
        <c:axId val="7006713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723295"/>
      </c:catAx>
      <c:valAx>
        <c:axId val="16527232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6713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EPS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Graphs!$F$79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Graphs!$E$80:$E$82</c:f>
            </c:strRef>
          </c:cat>
          <c:val>
            <c:numRef>
              <c:f>Graphs!$F$80:$F$82</c:f>
              <c:numCache/>
            </c:numRef>
          </c:val>
        </c:ser>
        <c:ser>
          <c:idx val="1"/>
          <c:order val="1"/>
          <c:tx>
            <c:strRef>
              <c:f>Graphs!$G$79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Graphs!$E$80:$E$82</c:f>
            </c:strRef>
          </c:cat>
          <c:val>
            <c:numRef>
              <c:f>Graphs!$G$80:$G$82</c:f>
              <c:numCache/>
            </c:numRef>
          </c:val>
        </c:ser>
        <c:axId val="1374696071"/>
        <c:axId val="1895401361"/>
      </c:barChart>
      <c:catAx>
        <c:axId val="13746960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5401361"/>
      </c:catAx>
      <c:valAx>
        <c:axId val="18954013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6960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Inventory Turnover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Graphs!$B$107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Graphs!$A$108:$A$110</c:f>
            </c:strRef>
          </c:cat>
          <c:val>
            <c:numRef>
              <c:f>Graphs!$B$108:$B$110</c:f>
              <c:numCache/>
            </c:numRef>
          </c:val>
        </c:ser>
        <c:ser>
          <c:idx val="1"/>
          <c:order val="1"/>
          <c:tx>
            <c:strRef>
              <c:f>Graphs!$C$107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Graphs!$A$108:$A$110</c:f>
            </c:strRef>
          </c:cat>
          <c:val>
            <c:numRef>
              <c:f>Graphs!$C$108:$C$110</c:f>
              <c:numCache/>
            </c:numRef>
          </c:val>
        </c:ser>
        <c:axId val="1936560385"/>
        <c:axId val="186706254"/>
      </c:barChart>
      <c:catAx>
        <c:axId val="19365603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06254"/>
      </c:catAx>
      <c:valAx>
        <c:axId val="1867062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5603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Operating Cashflow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Graphs!$G$119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Graphs!$F$120:$F$122</c:f>
            </c:strRef>
          </c:cat>
          <c:val>
            <c:numRef>
              <c:f>Graphs!$G$120:$G$122</c:f>
              <c:numCache/>
            </c:numRef>
          </c:val>
        </c:ser>
        <c:ser>
          <c:idx val="1"/>
          <c:order val="1"/>
          <c:tx>
            <c:strRef>
              <c:f>Graphs!$H$119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Graphs!$F$120:$F$122</c:f>
            </c:strRef>
          </c:cat>
          <c:val>
            <c:numRef>
              <c:f>Graphs!$H$120:$H$122</c:f>
              <c:numCache/>
            </c:numRef>
          </c:val>
        </c:ser>
        <c:axId val="1003494929"/>
        <c:axId val="1447105113"/>
      </c:barChart>
      <c:catAx>
        <c:axId val="10034949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105113"/>
      </c:catAx>
      <c:valAx>
        <c:axId val="14471051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4949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ON EQUITY (ROE)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Graphs!$M$107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Graphs!$L$108:$L$110</c:f>
            </c:strRef>
          </c:cat>
          <c:val>
            <c:numRef>
              <c:f>Graphs!$M$108:$M$110</c:f>
              <c:numCache/>
            </c:numRef>
          </c:val>
        </c:ser>
        <c:ser>
          <c:idx val="1"/>
          <c:order val="1"/>
          <c:tx>
            <c:strRef>
              <c:f>Graphs!$N$107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Graphs!$L$108:$L$110</c:f>
            </c:strRef>
          </c:cat>
          <c:val>
            <c:numRef>
              <c:f>Graphs!$N$108:$N$110</c:f>
              <c:numCache/>
            </c:numRef>
          </c:val>
        </c:ser>
        <c:axId val="179448976"/>
        <c:axId val="882733342"/>
      </c:barChart>
      <c:catAx>
        <c:axId val="1794489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733342"/>
      </c:catAx>
      <c:valAx>
        <c:axId val="8827333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489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Debt to Asset Ratio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Graphs!$I$129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Graphs!$H$130:$H$132</c:f>
            </c:strRef>
          </c:cat>
          <c:val>
            <c:numRef>
              <c:f>Graphs!$I$130:$I$132</c:f>
              <c:numCache/>
            </c:numRef>
          </c:val>
        </c:ser>
        <c:ser>
          <c:idx val="1"/>
          <c:order val="1"/>
          <c:tx>
            <c:strRef>
              <c:f>Graphs!$J$129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Graphs!$H$130:$H$132</c:f>
            </c:strRef>
          </c:cat>
          <c:val>
            <c:numRef>
              <c:f>Graphs!$J$130:$J$132</c:f>
              <c:numCache/>
            </c:numRef>
          </c:val>
        </c:ser>
        <c:axId val="59421866"/>
        <c:axId val="2143926415"/>
      </c:barChart>
      <c:catAx>
        <c:axId val="594218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926415"/>
      </c:catAx>
      <c:valAx>
        <c:axId val="21439264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218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Debt to Equity Ratio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Graphs!$B$142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Graphs!$A$143:$A$145</c:f>
            </c:strRef>
          </c:cat>
          <c:val>
            <c:numRef>
              <c:f>Graphs!$B$143:$B$145</c:f>
              <c:numCache/>
            </c:numRef>
          </c:val>
        </c:ser>
        <c:ser>
          <c:idx val="1"/>
          <c:order val="1"/>
          <c:tx>
            <c:strRef>
              <c:f>Graphs!$C$142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Graphs!$A$143:$A$145</c:f>
            </c:strRef>
          </c:cat>
          <c:val>
            <c:numRef>
              <c:f>Graphs!$C$143:$C$145</c:f>
              <c:numCache/>
            </c:numRef>
          </c:val>
        </c:ser>
        <c:axId val="1095409355"/>
        <c:axId val="256803611"/>
      </c:barChart>
      <c:catAx>
        <c:axId val="10954093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803611"/>
      </c:catAx>
      <c:valAx>
        <c:axId val="2568036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4093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P/E Ratio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Graphs!$E$154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Graphs!$D$155:$D$157</c:f>
            </c:strRef>
          </c:cat>
          <c:val>
            <c:numRef>
              <c:f>Graphs!$E$155:$E$157</c:f>
              <c:numCache/>
            </c:numRef>
          </c:val>
        </c:ser>
        <c:ser>
          <c:idx val="1"/>
          <c:order val="1"/>
          <c:tx>
            <c:strRef>
              <c:f>Graphs!$F$154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Graphs!$D$155:$D$157</c:f>
            </c:strRef>
          </c:cat>
          <c:val>
            <c:numRef>
              <c:f>Graphs!$F$155:$F$157</c:f>
              <c:numCache/>
            </c:numRef>
          </c:val>
        </c:ser>
        <c:axId val="103459658"/>
        <c:axId val="1545692820"/>
      </c:barChart>
      <c:catAx>
        <c:axId val="1034596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692820"/>
      </c:catAx>
      <c:valAx>
        <c:axId val="15456928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596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Market-To-Book Ratio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Graphs!$F$164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Graphs!$E$165:$E$167</c:f>
            </c:strRef>
          </c:cat>
          <c:val>
            <c:numRef>
              <c:f>Graphs!$F$165:$F$167</c:f>
              <c:numCache/>
            </c:numRef>
          </c:val>
        </c:ser>
        <c:ser>
          <c:idx val="1"/>
          <c:order val="1"/>
          <c:tx>
            <c:strRef>
              <c:f>Graphs!$G$164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Graphs!$E$165:$E$167</c:f>
            </c:strRef>
          </c:cat>
          <c:val>
            <c:numRef>
              <c:f>Graphs!$G$165:$G$167</c:f>
              <c:numCache/>
            </c:numRef>
          </c:val>
        </c:ser>
        <c:axId val="2105750395"/>
        <c:axId val="902407665"/>
      </c:barChart>
      <c:catAx>
        <c:axId val="21057503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407665"/>
      </c:catAx>
      <c:valAx>
        <c:axId val="9024076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7503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38100</xdr:rowOff>
    </xdr:from>
    <xdr:ext cx="5305425" cy="3286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209550</xdr:colOff>
      <xdr:row>17</xdr:row>
      <xdr:rowOff>95250</xdr:rowOff>
    </xdr:from>
    <xdr:ext cx="5305425" cy="3286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180975</xdr:colOff>
      <xdr:row>0</xdr:row>
      <xdr:rowOff>0</xdr:rowOff>
    </xdr:from>
    <xdr:ext cx="5429250" cy="3324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180975</xdr:colOff>
      <xdr:row>17</xdr:row>
      <xdr:rowOff>95250</xdr:rowOff>
    </xdr:from>
    <xdr:ext cx="5429250" cy="3324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9525</xdr:colOff>
      <xdr:row>31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123825</xdr:colOff>
      <xdr:row>34</xdr:row>
      <xdr:rowOff>133350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142875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</xdr:col>
      <xdr:colOff>123825</xdr:colOff>
      <xdr:row>56</xdr:row>
      <xdr:rowOff>28575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552450</xdr:colOff>
      <xdr:row>87</xdr:row>
      <xdr:rowOff>66675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99</xdr:row>
      <xdr:rowOff>28575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3</xdr:col>
      <xdr:colOff>180975</xdr:colOff>
      <xdr:row>108</xdr:row>
      <xdr:rowOff>95250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6</xdr:col>
      <xdr:colOff>0</xdr:colOff>
      <xdr:row>103</xdr:row>
      <xdr:rowOff>9525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</xdr:col>
      <xdr:colOff>276225</xdr:colOff>
      <xdr:row>125</xdr:row>
      <xdr:rowOff>85725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0</xdr:colOff>
      <xdr:row>133</xdr:row>
      <xdr:rowOff>38100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2</xdr:col>
      <xdr:colOff>0</xdr:colOff>
      <xdr:row>142</xdr:row>
      <xdr:rowOff>171450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2</xdr:col>
      <xdr:colOff>114300</xdr:colOff>
      <xdr:row>155</xdr:row>
      <xdr:rowOff>95250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E4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tarbucks-Cash Flow State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2:E4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Mcdonalds-Cash Flow State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44.5"/>
    <col customWidth="1" min="3" max="3" width="24.25"/>
    <col customWidth="1" min="4" max="4" width="35.0"/>
    <col customWidth="1" min="5" max="5" width="29.75"/>
    <col customWidth="1" min="6" max="6" width="16.75"/>
    <col customWidth="1" min="7" max="7" width="7.38"/>
    <col customWidth="1" min="8" max="8" width="57.88"/>
    <col customWidth="1" min="9" max="9" width="21.5"/>
    <col customWidth="1" min="10" max="10" width="26.5"/>
    <col customWidth="1" min="11" max="11" width="24.5"/>
  </cols>
  <sheetData>
    <row r="2"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B3" s="3" t="s">
        <v>0</v>
      </c>
    </row>
    <row r="5" ht="27.75" customHeight="1">
      <c r="B5" s="5" t="s">
        <v>2</v>
      </c>
      <c r="F5" s="2"/>
      <c r="G5" s="7"/>
      <c r="H5" s="9" t="s">
        <v>3</v>
      </c>
    </row>
    <row r="6">
      <c r="B6" s="10"/>
      <c r="C6" s="12">
        <v>2024.0</v>
      </c>
      <c r="D6" s="12">
        <v>2023.0</v>
      </c>
      <c r="E6" s="12">
        <v>2022.0</v>
      </c>
      <c r="F6" s="2"/>
      <c r="G6" s="14"/>
      <c r="H6" s="10"/>
      <c r="I6" s="12">
        <v>2024.0</v>
      </c>
      <c r="J6" s="12">
        <v>2023.0</v>
      </c>
      <c r="K6" s="12">
        <v>2022.0</v>
      </c>
    </row>
    <row r="7" ht="15.0" customHeight="1">
      <c r="B7" s="23" t="s">
        <v>5</v>
      </c>
      <c r="C7" s="16" t="s">
        <v>7</v>
      </c>
      <c r="D7" s="16" t="s">
        <v>7</v>
      </c>
      <c r="E7" s="16" t="s">
        <v>7</v>
      </c>
      <c r="F7" s="2"/>
      <c r="G7" s="26"/>
      <c r="H7" s="29"/>
      <c r="I7" s="23" t="s">
        <v>7</v>
      </c>
      <c r="J7" s="23" t="s">
        <v>7</v>
      </c>
      <c r="K7" s="23" t="s">
        <v>7</v>
      </c>
    </row>
    <row r="8">
      <c r="B8" s="34" t="s">
        <v>12</v>
      </c>
      <c r="C8" s="35">
        <v>25920.0</v>
      </c>
      <c r="D8" s="37">
        <v>25493.7</v>
      </c>
      <c r="E8" s="37">
        <v>23182.6</v>
      </c>
      <c r="F8" s="2"/>
      <c r="G8" s="39"/>
      <c r="H8" s="23" t="s">
        <v>17</v>
      </c>
      <c r="I8" s="42"/>
      <c r="J8" s="44"/>
      <c r="K8" s="45"/>
    </row>
    <row r="9">
      <c r="B9" s="47" t="s">
        <v>24</v>
      </c>
      <c r="C9" s="49"/>
      <c r="D9" s="49"/>
      <c r="E9" s="49"/>
      <c r="F9" s="2"/>
      <c r="G9" s="39"/>
      <c r="H9" s="23" t="s">
        <v>28</v>
      </c>
      <c r="I9" s="51"/>
      <c r="J9" s="53"/>
      <c r="K9" s="55"/>
    </row>
    <row r="10">
      <c r="B10" s="58" t="s">
        <v>32</v>
      </c>
      <c r="C10" s="61"/>
      <c r="D10" s="59"/>
      <c r="E10" s="60"/>
      <c r="F10" s="2"/>
      <c r="G10" s="62"/>
      <c r="H10" s="63" t="s">
        <v>41</v>
      </c>
      <c r="I10" s="49">
        <v>1085.0</v>
      </c>
      <c r="J10" s="49">
        <v>4579.3</v>
      </c>
      <c r="K10" s="49">
        <v>2583.8</v>
      </c>
    </row>
    <row r="11">
      <c r="B11" s="47" t="s">
        <v>44</v>
      </c>
      <c r="C11" s="49">
        <v>2995.0</v>
      </c>
      <c r="D11" s="65">
        <v>3039.0</v>
      </c>
      <c r="E11" s="65">
        <v>2737.3</v>
      </c>
      <c r="F11" s="2"/>
      <c r="G11" s="62"/>
      <c r="H11" s="63" t="s">
        <v>47</v>
      </c>
      <c r="I11" s="49">
        <v>2383.0</v>
      </c>
      <c r="J11" s="49">
        <v>2488.0</v>
      </c>
      <c r="K11" s="49">
        <v>2115.0</v>
      </c>
    </row>
    <row r="12">
      <c r="B12" s="67" t="s">
        <v>49</v>
      </c>
      <c r="C12" s="49">
        <v>2959.0</v>
      </c>
      <c r="D12" s="65">
        <v>2885.8</v>
      </c>
      <c r="E12" s="65">
        <v>2617.4</v>
      </c>
      <c r="F12" s="2"/>
      <c r="G12" s="62"/>
      <c r="H12" s="63" t="s">
        <v>53</v>
      </c>
      <c r="I12" s="49">
        <v>56.0</v>
      </c>
      <c r="J12" s="49">
        <v>52.8</v>
      </c>
      <c r="K12" s="49">
        <v>52.0</v>
      </c>
    </row>
    <row r="13">
      <c r="B13" s="67" t="s">
        <v>54</v>
      </c>
      <c r="C13" s="49">
        <v>2381.0</v>
      </c>
      <c r="D13" s="65">
        <v>2299.3</v>
      </c>
      <c r="E13" s="49">
        <v>2026.2</v>
      </c>
      <c r="F13" s="2"/>
      <c r="G13" s="62"/>
      <c r="H13" s="63" t="s">
        <v>56</v>
      </c>
      <c r="I13" s="49">
        <v>1075.0</v>
      </c>
      <c r="J13" s="49">
        <v>866.3</v>
      </c>
      <c r="K13" s="49">
        <v>673.4</v>
      </c>
    </row>
    <row r="14">
      <c r="B14" s="67" t="s">
        <v>57</v>
      </c>
      <c r="C14" s="49">
        <v>2536.0</v>
      </c>
      <c r="D14" s="49">
        <v>2474.6</v>
      </c>
      <c r="E14" s="49">
        <v>2349.7</v>
      </c>
      <c r="F14" s="2"/>
      <c r="G14" s="39"/>
      <c r="H14" s="72" t="s">
        <v>26</v>
      </c>
      <c r="I14" s="37">
        <f t="shared" ref="I14:K14" si="1">SUM(I10:I13)</f>
        <v>4599</v>
      </c>
      <c r="J14" s="37">
        <f t="shared" si="1"/>
        <v>7986.4</v>
      </c>
      <c r="K14" s="37">
        <f t="shared" si="1"/>
        <v>5424.2</v>
      </c>
    </row>
    <row r="15">
      <c r="B15" s="47" t="s">
        <v>71</v>
      </c>
      <c r="C15" s="49">
        <v>339.0</v>
      </c>
      <c r="D15" s="49">
        <v>232.5</v>
      </c>
      <c r="E15" s="49">
        <v>244.8</v>
      </c>
      <c r="F15" s="2"/>
      <c r="G15" s="62"/>
      <c r="H15" s="63"/>
      <c r="I15" s="49"/>
      <c r="J15" s="49"/>
      <c r="K15" s="49"/>
    </row>
    <row r="16">
      <c r="B16" s="58" t="s">
        <v>74</v>
      </c>
      <c r="C16" s="76"/>
      <c r="D16" s="59"/>
      <c r="E16" s="60"/>
      <c r="F16" s="2"/>
      <c r="G16" s="39"/>
      <c r="H16" s="23" t="s">
        <v>77</v>
      </c>
      <c r="I16" s="49"/>
      <c r="J16" s="49"/>
      <c r="K16" s="49"/>
    </row>
    <row r="17">
      <c r="B17" s="47" t="s">
        <v>78</v>
      </c>
      <c r="C17" s="49">
        <v>447.0</v>
      </c>
      <c r="D17" s="49">
        <v>381.7</v>
      </c>
      <c r="E17" s="49">
        <v>370.4</v>
      </c>
      <c r="F17" s="2"/>
      <c r="G17" s="62"/>
      <c r="H17" s="63" t="s">
        <v>79</v>
      </c>
      <c r="I17" s="49">
        <v>2710.0</v>
      </c>
      <c r="J17" s="49">
        <v>1080.2</v>
      </c>
      <c r="K17" s="49">
        <v>1064.5</v>
      </c>
    </row>
    <row r="18">
      <c r="B18" s="47" t="s">
        <v>71</v>
      </c>
      <c r="C18" s="49">
        <v>2412.0</v>
      </c>
      <c r="D18" s="49">
        <v>2435.2</v>
      </c>
      <c r="E18" s="49">
        <v>2492.2</v>
      </c>
      <c r="F18" s="2"/>
      <c r="G18" s="62"/>
      <c r="H18" s="63" t="s">
        <v>39</v>
      </c>
      <c r="I18" s="49">
        <v>3145.0</v>
      </c>
      <c r="J18" s="49">
        <v>3040.4</v>
      </c>
      <c r="K18" s="49">
        <v>2900.4</v>
      </c>
    </row>
    <row r="19">
      <c r="B19" s="47" t="s">
        <v>80</v>
      </c>
      <c r="C19" s="49">
        <v>139.0</v>
      </c>
      <c r="D19" s="49">
        <v>98.9</v>
      </c>
      <c r="E19" s="49">
        <v>973.6</v>
      </c>
      <c r="F19" s="2"/>
      <c r="G19" s="62"/>
      <c r="H19" s="63" t="s">
        <v>82</v>
      </c>
      <c r="I19" s="49">
        <v>6095.0</v>
      </c>
      <c r="J19" s="49">
        <v>5617.8</v>
      </c>
      <c r="K19" s="49">
        <v>4707.2</v>
      </c>
    </row>
    <row r="20">
      <c r="B20" s="34" t="s">
        <v>85</v>
      </c>
      <c r="C20" s="37">
        <f t="shared" ref="C20:E20" si="2">SUM(C11:C19)</f>
        <v>14208</v>
      </c>
      <c r="D20" s="37">
        <f t="shared" si="2"/>
        <v>13847</v>
      </c>
      <c r="E20" s="37">
        <f t="shared" si="2"/>
        <v>13811.6</v>
      </c>
      <c r="F20" s="2"/>
      <c r="G20" s="39"/>
      <c r="H20" s="23" t="s">
        <v>89</v>
      </c>
      <c r="I20" s="83">
        <f t="shared" ref="I20:K20" si="3">sum(I17:I19)</f>
        <v>11950</v>
      </c>
      <c r="J20" s="83">
        <f t="shared" si="3"/>
        <v>9738.4</v>
      </c>
      <c r="K20" s="83">
        <f t="shared" si="3"/>
        <v>8672.1</v>
      </c>
    </row>
    <row r="21">
      <c r="B21" s="34" t="s">
        <v>97</v>
      </c>
      <c r="C21" s="37">
        <f t="shared" ref="C21:E21" si="4">C8-C20</f>
        <v>11712</v>
      </c>
      <c r="D21" s="37">
        <f t="shared" si="4"/>
        <v>11646.7</v>
      </c>
      <c r="E21" s="37">
        <f t="shared" si="4"/>
        <v>9371</v>
      </c>
      <c r="F21" s="2"/>
      <c r="G21" s="62"/>
      <c r="H21" s="63" t="s">
        <v>100</v>
      </c>
      <c r="I21" s="49">
        <v>13339.0</v>
      </c>
      <c r="J21" s="49">
        <v>13514.4</v>
      </c>
      <c r="K21" s="49">
        <v>12565.7</v>
      </c>
    </row>
    <row r="22">
      <c r="B22" s="47" t="s">
        <v>103</v>
      </c>
      <c r="C22" s="49">
        <v>1506.0</v>
      </c>
      <c r="D22" s="49">
        <v>1360.0</v>
      </c>
      <c r="E22" s="49">
        <v>1207.0</v>
      </c>
      <c r="F22" s="2"/>
      <c r="G22" s="39"/>
      <c r="H22" s="23" t="s">
        <v>104</v>
      </c>
      <c r="I22" s="49"/>
      <c r="J22" s="49"/>
      <c r="K22" s="49"/>
    </row>
    <row r="23">
      <c r="B23" s="47" t="s">
        <v>105</v>
      </c>
      <c r="C23" s="49">
        <v>-139.0</v>
      </c>
      <c r="D23" s="49">
        <v>-236.3</v>
      </c>
      <c r="E23" s="49">
        <v>338.6</v>
      </c>
      <c r="F23" s="2"/>
      <c r="G23" s="62"/>
      <c r="H23" s="63" t="s">
        <v>106</v>
      </c>
      <c r="I23" s="49">
        <v>44177.0</v>
      </c>
      <c r="J23" s="49">
        <v>43570.0</v>
      </c>
      <c r="K23" s="65">
        <v>41037.6</v>
      </c>
    </row>
    <row r="24">
      <c r="B24" s="34" t="s">
        <v>108</v>
      </c>
      <c r="C24" s="86">
        <f t="shared" ref="C24:E24" si="5">C21-(C22+C23)</f>
        <v>10345</v>
      </c>
      <c r="D24" s="86">
        <f t="shared" si="5"/>
        <v>10523</v>
      </c>
      <c r="E24" s="86">
        <f t="shared" si="5"/>
        <v>7825.4</v>
      </c>
      <c r="F24" s="2"/>
      <c r="G24" s="62"/>
      <c r="H24" s="63" t="s">
        <v>114</v>
      </c>
      <c r="I24" s="83">
        <v>-18883.0</v>
      </c>
      <c r="J24" s="49">
        <v>-18662.4</v>
      </c>
      <c r="K24" s="65">
        <v>-17264.0</v>
      </c>
    </row>
    <row r="25">
      <c r="B25" s="67" t="s">
        <v>115</v>
      </c>
      <c r="C25" s="83">
        <v>2121.0</v>
      </c>
      <c r="D25" s="65">
        <v>2053.4</v>
      </c>
      <c r="E25" s="65">
        <v>1648.0</v>
      </c>
      <c r="F25" s="2"/>
      <c r="G25" s="39"/>
      <c r="H25" s="23" t="s">
        <v>117</v>
      </c>
      <c r="I25" s="83">
        <f t="shared" ref="I25:K25" si="6">I23+I24</f>
        <v>25294</v>
      </c>
      <c r="J25" s="83">
        <f t="shared" si="6"/>
        <v>24907.6</v>
      </c>
      <c r="K25" s="83">
        <f t="shared" si="6"/>
        <v>23773.6</v>
      </c>
    </row>
    <row r="26">
      <c r="B26" s="34" t="s">
        <v>37</v>
      </c>
      <c r="C26" s="37">
        <f t="shared" ref="C26:E26" si="7">C24-C25</f>
        <v>8224</v>
      </c>
      <c r="D26" s="37">
        <f t="shared" si="7"/>
        <v>8469.6</v>
      </c>
      <c r="E26" s="37">
        <f t="shared" si="7"/>
        <v>6177.4</v>
      </c>
      <c r="F26" s="2"/>
      <c r="G26" s="39"/>
      <c r="H26" s="72" t="s">
        <v>127</v>
      </c>
      <c r="I26" s="37">
        <f t="shared" ref="I26:K26" si="8">I14+I20+I25+I21</f>
        <v>55182</v>
      </c>
      <c r="J26" s="37">
        <f t="shared" si="8"/>
        <v>56146.8</v>
      </c>
      <c r="K26" s="37">
        <f t="shared" si="8"/>
        <v>50435.6</v>
      </c>
    </row>
    <row r="27">
      <c r="B27" s="96"/>
      <c r="C27" s="97"/>
      <c r="D27" s="97"/>
      <c r="E27" s="97"/>
      <c r="F27" s="2"/>
      <c r="G27" s="39"/>
      <c r="H27" s="23" t="s">
        <v>132</v>
      </c>
      <c r="I27" s="98"/>
      <c r="J27" s="49"/>
      <c r="K27" s="49"/>
    </row>
    <row r="28">
      <c r="B28" s="96"/>
      <c r="C28" s="97"/>
      <c r="D28" s="97"/>
      <c r="E28" s="97"/>
      <c r="F28" s="2"/>
      <c r="G28" s="39"/>
      <c r="H28" s="23" t="s">
        <v>135</v>
      </c>
      <c r="I28" s="49"/>
      <c r="J28" s="49"/>
      <c r="K28" s="49"/>
    </row>
    <row r="29" ht="19.5" customHeight="1">
      <c r="B29" s="101" t="s">
        <v>137</v>
      </c>
      <c r="C29" s="102">
        <v>-6003.0</v>
      </c>
      <c r="D29" s="102">
        <v>-4707.0</v>
      </c>
      <c r="E29" s="102">
        <v>-3797.0</v>
      </c>
      <c r="F29" s="2"/>
      <c r="G29" s="103"/>
      <c r="H29" s="104" t="s">
        <v>142</v>
      </c>
      <c r="I29" s="49"/>
      <c r="J29" s="49">
        <v>2192.4</v>
      </c>
      <c r="K29" s="83"/>
    </row>
    <row r="30">
      <c r="B30" s="105"/>
      <c r="C30" s="106"/>
      <c r="D30" s="106"/>
      <c r="E30" s="106"/>
      <c r="F30" s="2"/>
      <c r="G30" s="62"/>
      <c r="H30" s="63" t="s">
        <v>59</v>
      </c>
      <c r="I30" s="49">
        <v>1029.0</v>
      </c>
      <c r="J30" s="49">
        <v>1102.9</v>
      </c>
      <c r="K30" s="49">
        <v>980.2</v>
      </c>
    </row>
    <row r="31">
      <c r="B31" s="108"/>
      <c r="C31" s="106"/>
      <c r="D31" s="106"/>
      <c r="E31" s="106"/>
      <c r="F31" s="2"/>
      <c r="G31" s="110"/>
      <c r="H31" s="111" t="s">
        <v>149</v>
      </c>
      <c r="I31" s="83">
        <v>636.0</v>
      </c>
      <c r="J31" s="49">
        <v>688.1</v>
      </c>
      <c r="K31" s="49">
        <v>661.1</v>
      </c>
    </row>
    <row r="32">
      <c r="B32" s="96"/>
      <c r="C32" s="97"/>
      <c r="D32" s="112"/>
      <c r="E32" s="112"/>
      <c r="F32" s="2"/>
      <c r="G32" s="62"/>
      <c r="H32" s="63" t="s">
        <v>155</v>
      </c>
      <c r="I32" s="49">
        <v>361.0</v>
      </c>
      <c r="J32" s="49">
        <v>705.1</v>
      </c>
      <c r="K32" s="49">
        <v>274.9</v>
      </c>
    </row>
    <row r="33">
      <c r="B33" s="96"/>
      <c r="C33" s="97"/>
      <c r="D33" s="97"/>
      <c r="E33" s="97"/>
      <c r="F33" s="2"/>
      <c r="G33" s="62"/>
      <c r="H33" s="63" t="s">
        <v>158</v>
      </c>
      <c r="I33" s="49">
        <v>224.0</v>
      </c>
      <c r="J33" s="49">
        <v>268.0</v>
      </c>
      <c r="K33" s="49">
        <v>255.0</v>
      </c>
    </row>
    <row r="34">
      <c r="B34" s="105"/>
      <c r="C34" s="106"/>
      <c r="D34" s="106"/>
      <c r="E34" s="106"/>
      <c r="F34" s="2"/>
      <c r="G34" s="62"/>
      <c r="H34" s="63" t="s">
        <v>161</v>
      </c>
      <c r="I34" s="83">
        <v>482.0</v>
      </c>
      <c r="J34" s="65">
        <v>468.0</v>
      </c>
      <c r="K34" s="83">
        <v>393.4</v>
      </c>
    </row>
    <row r="35">
      <c r="B35" s="108"/>
      <c r="C35" s="112"/>
      <c r="D35" s="112"/>
      <c r="E35" s="112"/>
      <c r="F35" s="2"/>
      <c r="G35" s="62"/>
      <c r="H35" s="63" t="s">
        <v>163</v>
      </c>
      <c r="I35" s="49">
        <v>1129.0</v>
      </c>
      <c r="J35" s="49">
        <v>1433.6</v>
      </c>
      <c r="K35" s="49">
        <v>1237.4</v>
      </c>
    </row>
    <row r="36">
      <c r="B36" s="2"/>
      <c r="C36" s="2"/>
      <c r="D36" s="2"/>
      <c r="E36" s="2"/>
      <c r="F36" s="2"/>
      <c r="G36" s="39"/>
      <c r="H36" s="72" t="s">
        <v>64</v>
      </c>
      <c r="I36" s="37">
        <f t="shared" ref="I36:K36" si="9">sum(I29:I35)</f>
        <v>3861</v>
      </c>
      <c r="J36" s="37">
        <f t="shared" si="9"/>
        <v>6858.1</v>
      </c>
      <c r="K36" s="37">
        <f t="shared" si="9"/>
        <v>3802</v>
      </c>
    </row>
    <row r="37">
      <c r="B37" s="62"/>
      <c r="C37" s="62"/>
      <c r="D37" s="62"/>
      <c r="E37" s="62"/>
      <c r="F37" s="2"/>
      <c r="G37" s="39"/>
      <c r="H37" s="23" t="s">
        <v>178</v>
      </c>
      <c r="I37" s="49">
        <v>38424.0</v>
      </c>
      <c r="J37" s="49">
        <v>37152.9</v>
      </c>
      <c r="K37" s="49">
        <v>35903.5</v>
      </c>
    </row>
    <row r="38">
      <c r="B38" s="62"/>
      <c r="C38" s="62"/>
      <c r="D38" s="62"/>
      <c r="E38" s="62"/>
      <c r="F38" s="2"/>
      <c r="G38" s="39"/>
      <c r="H38" s="23" t="s">
        <v>179</v>
      </c>
      <c r="I38" s="49">
        <v>12888.0</v>
      </c>
      <c r="J38" s="49">
        <v>13057.7</v>
      </c>
      <c r="K38" s="49">
        <v>12134.0</v>
      </c>
    </row>
    <row r="39">
      <c r="B39" s="2"/>
      <c r="C39" s="2"/>
      <c r="D39" s="2"/>
      <c r="E39" s="2"/>
      <c r="F39" s="2"/>
      <c r="G39" s="39"/>
      <c r="H39" s="23" t="s">
        <v>180</v>
      </c>
      <c r="I39" s="49">
        <v>344.0</v>
      </c>
      <c r="J39" s="49">
        <v>363.2</v>
      </c>
      <c r="K39" s="49">
        <v>791.9</v>
      </c>
    </row>
    <row r="40">
      <c r="B40" s="2"/>
      <c r="C40" s="2"/>
      <c r="D40" s="2"/>
      <c r="E40" s="2"/>
      <c r="F40" s="2"/>
      <c r="G40" s="39"/>
      <c r="H40" s="23" t="s">
        <v>182</v>
      </c>
      <c r="I40" s="49">
        <v>778.0</v>
      </c>
      <c r="J40" s="49">
        <v>790.1</v>
      </c>
      <c r="K40" s="49">
        <v>757.8</v>
      </c>
    </row>
    <row r="41">
      <c r="B41" s="125"/>
      <c r="C41" s="2"/>
      <c r="D41" s="2"/>
      <c r="E41" s="2"/>
      <c r="F41" s="2"/>
      <c r="G41" s="39"/>
      <c r="H41" s="23" t="s">
        <v>183</v>
      </c>
      <c r="I41" s="83">
        <v>771.0</v>
      </c>
      <c r="J41" s="65">
        <v>949.7</v>
      </c>
      <c r="K41" s="49">
        <v>1051.8</v>
      </c>
    </row>
    <row r="42">
      <c r="B42" s="2"/>
      <c r="C42" s="2"/>
      <c r="D42" s="2"/>
      <c r="E42" s="2"/>
      <c r="F42" s="2"/>
      <c r="G42" s="39"/>
      <c r="H42" s="23" t="s">
        <v>38</v>
      </c>
      <c r="I42" s="83">
        <v>1914.0</v>
      </c>
      <c r="J42" s="49">
        <v>1680.9</v>
      </c>
      <c r="K42" s="49">
        <v>1997.5</v>
      </c>
    </row>
    <row r="43">
      <c r="B43" s="2"/>
      <c r="C43" s="2"/>
      <c r="D43" s="2"/>
      <c r="E43" s="2"/>
      <c r="F43" s="2"/>
      <c r="G43" s="39"/>
      <c r="H43" s="23" t="s">
        <v>184</v>
      </c>
      <c r="I43" s="49"/>
      <c r="J43" s="49"/>
      <c r="K43" s="49"/>
    </row>
    <row r="44">
      <c r="B44" s="2"/>
      <c r="C44" s="2"/>
      <c r="D44" s="2"/>
      <c r="E44" s="2"/>
      <c r="F44" s="2"/>
      <c r="G44" s="62"/>
      <c r="H44" s="63" t="s">
        <v>185</v>
      </c>
      <c r="I44" s="49" t="s">
        <v>186</v>
      </c>
      <c r="J44" s="49" t="s">
        <v>186</v>
      </c>
      <c r="K44" s="49" t="s">
        <v>186</v>
      </c>
    </row>
    <row r="45">
      <c r="B45" s="2"/>
      <c r="C45" s="2"/>
      <c r="D45" s="2"/>
      <c r="E45" s="2"/>
      <c r="F45" s="2"/>
      <c r="G45" s="120"/>
      <c r="H45" s="116" t="s">
        <v>187</v>
      </c>
      <c r="I45" s="49">
        <v>17.0</v>
      </c>
      <c r="J45" s="49">
        <v>16.6</v>
      </c>
      <c r="K45" s="49">
        <v>16.6</v>
      </c>
    </row>
    <row r="46">
      <c r="B46" s="2"/>
      <c r="C46" s="2"/>
      <c r="D46" s="2"/>
      <c r="E46" s="2"/>
      <c r="F46" s="2"/>
      <c r="G46" s="62"/>
      <c r="H46" s="63" t="s">
        <v>188</v>
      </c>
      <c r="I46" s="49">
        <v>9281.0</v>
      </c>
      <c r="J46" s="49">
        <v>8892.9</v>
      </c>
      <c r="K46" s="49">
        <v>8548.1</v>
      </c>
    </row>
    <row r="47">
      <c r="B47" s="2"/>
      <c r="C47" s="2"/>
      <c r="D47" s="2"/>
      <c r="E47" s="2"/>
      <c r="F47" s="2"/>
      <c r="G47" s="110"/>
      <c r="H47" s="128" t="s">
        <v>83</v>
      </c>
      <c r="I47" s="129">
        <v>66834.0</v>
      </c>
      <c r="J47" s="129">
        <v>63479.9</v>
      </c>
      <c r="K47" s="129">
        <v>59543.0</v>
      </c>
    </row>
    <row r="48">
      <c r="B48" s="2"/>
      <c r="C48" s="2"/>
      <c r="D48" s="2"/>
      <c r="E48" s="2"/>
      <c r="F48" s="2"/>
      <c r="G48" s="62"/>
      <c r="H48" s="63" t="s">
        <v>189</v>
      </c>
      <c r="I48" s="49">
        <v>-2553.0</v>
      </c>
      <c r="J48" s="49">
        <v>-2455.0</v>
      </c>
      <c r="K48" s="49">
        <v>-2486.6</v>
      </c>
    </row>
    <row r="49">
      <c r="B49" s="2"/>
      <c r="C49" s="2"/>
      <c r="D49" s="2"/>
      <c r="E49" s="2"/>
      <c r="F49" s="2"/>
      <c r="G49" s="120"/>
      <c r="H49" s="116" t="s">
        <v>191</v>
      </c>
      <c r="I49" s="49">
        <v>-77375.0</v>
      </c>
      <c r="J49" s="49">
        <v>-74640.2</v>
      </c>
      <c r="K49" s="49">
        <v>-71624.4</v>
      </c>
    </row>
    <row r="50">
      <c r="B50" s="2"/>
      <c r="C50" s="2"/>
      <c r="D50" s="2"/>
      <c r="E50" s="2"/>
      <c r="F50" s="2"/>
      <c r="G50" s="39"/>
      <c r="H50" s="133" t="s">
        <v>193</v>
      </c>
      <c r="I50" s="138">
        <f t="shared" ref="I50:J50" si="10">sum(I45:I49)</f>
        <v>-3796</v>
      </c>
      <c r="J50" s="138">
        <f t="shared" si="10"/>
        <v>-4705.8</v>
      </c>
      <c r="K50" s="138">
        <f>SUM(K45:K49)</f>
        <v>-6003.3</v>
      </c>
    </row>
    <row r="51">
      <c r="B51" s="2"/>
      <c r="C51" s="2"/>
      <c r="D51" s="2"/>
      <c r="E51" s="2"/>
      <c r="F51" s="2"/>
      <c r="G51" s="39"/>
      <c r="H51" s="72" t="s">
        <v>202</v>
      </c>
      <c r="I51" s="37">
        <f t="shared" ref="I51:K51" si="11">sum(I36,I37,I38,I39,I40,I41,I42,I50)</f>
        <v>55184</v>
      </c>
      <c r="J51" s="37">
        <f t="shared" si="11"/>
        <v>56146.8</v>
      </c>
      <c r="K51" s="37">
        <f t="shared" si="11"/>
        <v>50435.2</v>
      </c>
    </row>
    <row r="52">
      <c r="G52" s="39"/>
      <c r="H52" s="23"/>
      <c r="I52" s="49"/>
      <c r="J52" s="144"/>
      <c r="K52" s="145"/>
    </row>
    <row r="53">
      <c r="F53" s="146"/>
      <c r="G53" s="39"/>
      <c r="H53" s="72" t="s">
        <v>207</v>
      </c>
      <c r="I53" s="37">
        <v>9447.0</v>
      </c>
      <c r="J53" s="147">
        <v>9612.0</v>
      </c>
      <c r="K53" s="147">
        <v>7387.0</v>
      </c>
    </row>
    <row r="54">
      <c r="I54" s="2"/>
    </row>
    <row r="55">
      <c r="G55" s="148"/>
      <c r="H55" s="148"/>
      <c r="I55" s="2"/>
    </row>
    <row r="56">
      <c r="G56" s="148"/>
      <c r="H56" s="149" t="s">
        <v>208</v>
      </c>
      <c r="I56" s="18"/>
      <c r="J56" s="18"/>
      <c r="K56" s="20"/>
    </row>
    <row r="57">
      <c r="G57" s="148"/>
      <c r="H57" s="150" t="s">
        <v>209</v>
      </c>
      <c r="I57" s="151">
        <v>1.6606E9</v>
      </c>
      <c r="J57" s="151">
        <v>1.6606E9</v>
      </c>
      <c r="K57" s="151">
        <v>1.6606E9</v>
      </c>
    </row>
    <row r="58">
      <c r="H58" s="16" t="s">
        <v>210</v>
      </c>
      <c r="I58" s="152">
        <v>9.379E8</v>
      </c>
      <c r="J58" s="152">
        <v>9.293E8</v>
      </c>
      <c r="K58" s="152">
        <v>9.293E8</v>
      </c>
    </row>
    <row r="59">
      <c r="A59" s="153" t="s">
        <v>110</v>
      </c>
      <c r="B59" s="154" t="s">
        <v>112</v>
      </c>
      <c r="C59" s="154" t="s">
        <v>113</v>
      </c>
      <c r="D59" s="154">
        <v>2024.0</v>
      </c>
      <c r="E59" s="154">
        <v>2023.0</v>
      </c>
      <c r="F59" s="155">
        <v>2022.0</v>
      </c>
      <c r="G59" s="2"/>
      <c r="H59" s="16" t="s">
        <v>211</v>
      </c>
      <c r="I59" s="156">
        <f t="shared" ref="I59:K59" si="12">I57-I58</f>
        <v>722700000</v>
      </c>
      <c r="J59" s="156">
        <f t="shared" si="12"/>
        <v>731300000</v>
      </c>
      <c r="K59" s="156">
        <f t="shared" si="12"/>
        <v>731300000</v>
      </c>
    </row>
    <row r="60">
      <c r="A60" s="90" t="s">
        <v>116</v>
      </c>
      <c r="B60" s="91" t="s">
        <v>212</v>
      </c>
      <c r="C60" s="92" t="s">
        <v>120</v>
      </c>
      <c r="D60" s="157">
        <f t="shared" ref="D60:F60" si="13">I14/I36</f>
        <v>1.191142191</v>
      </c>
      <c r="E60" s="157">
        <f t="shared" si="13"/>
        <v>1.164520786</v>
      </c>
      <c r="F60" s="157">
        <f t="shared" si="13"/>
        <v>1.426670174</v>
      </c>
      <c r="G60" s="2"/>
      <c r="H60" s="16" t="s">
        <v>213</v>
      </c>
      <c r="I60" s="158">
        <v>280.0</v>
      </c>
      <c r="J60" s="158">
        <v>295.0</v>
      </c>
      <c r="K60" s="158">
        <v>265.0</v>
      </c>
    </row>
    <row r="61">
      <c r="A61" s="93"/>
      <c r="B61" s="91" t="s">
        <v>121</v>
      </c>
      <c r="C61" s="92" t="s">
        <v>122</v>
      </c>
      <c r="D61" s="159">
        <f t="shared" ref="D61:F61" si="14">I63/I36</f>
        <v>0.281015281</v>
      </c>
      <c r="E61" s="159">
        <f t="shared" si="14"/>
        <v>0.6677213806</v>
      </c>
      <c r="F61" s="159">
        <f t="shared" si="14"/>
        <v>0.6795896896</v>
      </c>
      <c r="G61" s="2"/>
      <c r="H61" s="16"/>
      <c r="I61" s="117"/>
      <c r="J61" s="117"/>
      <c r="K61" s="117"/>
    </row>
    <row r="62">
      <c r="A62" s="95"/>
      <c r="B62" s="91" t="s">
        <v>124</v>
      </c>
      <c r="C62" s="92" t="s">
        <v>125</v>
      </c>
      <c r="D62" s="157">
        <f t="shared" ref="D62:F62" si="15">I53/I36</f>
        <v>2.446775447</v>
      </c>
      <c r="E62" s="157">
        <f t="shared" si="15"/>
        <v>1.401554366</v>
      </c>
      <c r="F62" s="157">
        <f t="shared" si="15"/>
        <v>1.942924776</v>
      </c>
      <c r="G62" s="2"/>
      <c r="H62" s="16" t="s">
        <v>214</v>
      </c>
      <c r="I62" s="160">
        <f t="shared" ref="I62:K62" si="16">I59*I60</f>
        <v>202356000000</v>
      </c>
      <c r="J62" s="160">
        <f t="shared" si="16"/>
        <v>215733500000</v>
      </c>
      <c r="K62" s="160">
        <f t="shared" si="16"/>
        <v>193794500000</v>
      </c>
    </row>
    <row r="63">
      <c r="A63" s="90" t="s">
        <v>131</v>
      </c>
      <c r="B63" s="99" t="s">
        <v>133</v>
      </c>
      <c r="C63" s="100" t="s">
        <v>136</v>
      </c>
      <c r="D63" s="163">
        <v>208.01</v>
      </c>
      <c r="E63" s="163">
        <v>206.25</v>
      </c>
      <c r="F63" s="163">
        <v>191.83</v>
      </c>
      <c r="G63" s="2"/>
      <c r="H63" s="16" t="s">
        <v>215</v>
      </c>
      <c r="I63" s="164">
        <v>1085.0</v>
      </c>
      <c r="J63" s="164">
        <v>4579.3</v>
      </c>
      <c r="K63" s="164">
        <v>2583.8</v>
      </c>
    </row>
    <row r="64">
      <c r="A64" s="93"/>
      <c r="B64" s="99" t="s">
        <v>138</v>
      </c>
      <c r="C64" s="100" t="s">
        <v>139</v>
      </c>
      <c r="D64" s="163">
        <v>10.88</v>
      </c>
      <c r="E64" s="163">
        <v>10.25</v>
      </c>
      <c r="F64" s="163">
        <v>10.96</v>
      </c>
      <c r="G64" s="2"/>
      <c r="H64" s="166"/>
      <c r="I64" s="167"/>
      <c r="J64" s="168"/>
      <c r="K64" s="168"/>
    </row>
    <row r="65">
      <c r="A65" s="95"/>
      <c r="B65" s="99" t="s">
        <v>140</v>
      </c>
      <c r="C65" s="100" t="s">
        <v>141</v>
      </c>
      <c r="D65" s="163">
        <v>0.47</v>
      </c>
      <c r="E65" s="163">
        <v>0.45</v>
      </c>
      <c r="F65" s="163">
        <v>0.46</v>
      </c>
      <c r="G65" s="2"/>
      <c r="H65" s="170"/>
      <c r="I65" s="167"/>
      <c r="J65" s="168"/>
      <c r="K65" s="168"/>
    </row>
    <row r="66">
      <c r="A66" s="90" t="s">
        <v>143</v>
      </c>
      <c r="B66" s="91" t="s">
        <v>145</v>
      </c>
      <c r="C66" s="92" t="s">
        <v>146</v>
      </c>
      <c r="D66" s="159">
        <f t="shared" ref="D66:F66" si="17">SUM(C11:C15)/C8</f>
        <v>0.4324845679</v>
      </c>
      <c r="E66" s="159">
        <f t="shared" si="17"/>
        <v>0.4287804438</v>
      </c>
      <c r="F66" s="159">
        <f t="shared" si="17"/>
        <v>0.4302968606</v>
      </c>
      <c r="G66" s="2"/>
      <c r="H66" s="2"/>
      <c r="I66" s="171"/>
    </row>
    <row r="67">
      <c r="A67" s="93"/>
      <c r="B67" s="99" t="s">
        <v>147</v>
      </c>
      <c r="C67" s="100" t="s">
        <v>148</v>
      </c>
      <c r="D67" s="172">
        <f t="shared" ref="D67:F67" si="18">C21/C8</f>
        <v>0.4518518519</v>
      </c>
      <c r="E67" s="172">
        <f t="shared" si="18"/>
        <v>0.4568462012</v>
      </c>
      <c r="F67" s="172">
        <f t="shared" si="18"/>
        <v>0.404225583</v>
      </c>
      <c r="G67" s="2"/>
      <c r="H67" s="2"/>
      <c r="I67" s="171"/>
    </row>
    <row r="68">
      <c r="A68" s="93"/>
      <c r="B68" s="91" t="s">
        <v>150</v>
      </c>
      <c r="C68" s="92" t="s">
        <v>151</v>
      </c>
      <c r="D68" s="175">
        <f t="shared" ref="D68:F68" si="19">C26/C8</f>
        <v>0.3172839506</v>
      </c>
      <c r="E68" s="175">
        <f t="shared" si="19"/>
        <v>0.3322232552</v>
      </c>
      <c r="F68" s="175">
        <f t="shared" si="19"/>
        <v>0.2664670917</v>
      </c>
      <c r="G68" s="2"/>
      <c r="H68" s="2"/>
      <c r="I68" s="171"/>
    </row>
    <row r="69">
      <c r="A69" s="93"/>
      <c r="B69" s="91" t="s">
        <v>153</v>
      </c>
      <c r="C69" s="92" t="s">
        <v>154</v>
      </c>
      <c r="D69" s="175">
        <f t="shared" ref="D69:F69" si="20">C26/I26</f>
        <v>0.1490341053</v>
      </c>
      <c r="E69" s="175">
        <f t="shared" si="20"/>
        <v>0.1508474214</v>
      </c>
      <c r="F69" s="175">
        <f t="shared" si="20"/>
        <v>0.122480946</v>
      </c>
      <c r="G69" s="2"/>
      <c r="H69" s="2"/>
      <c r="I69" s="171"/>
    </row>
    <row r="70">
      <c r="A70" s="93"/>
      <c r="B70" s="99" t="s">
        <v>156</v>
      </c>
      <c r="C70" s="100" t="s">
        <v>157</v>
      </c>
      <c r="D70" s="163">
        <v>-216.65</v>
      </c>
      <c r="E70" s="176">
        <v>-179.97</v>
      </c>
      <c r="F70" s="163">
        <v>-102.89</v>
      </c>
      <c r="G70" s="2"/>
      <c r="H70" s="2"/>
      <c r="I70" s="171"/>
    </row>
    <row r="71">
      <c r="A71" s="95"/>
      <c r="B71" s="91" t="s">
        <v>159</v>
      </c>
      <c r="C71" s="92" t="s">
        <v>160</v>
      </c>
      <c r="D71" s="177">
        <v>0.94</v>
      </c>
      <c r="E71" s="178">
        <v>0.95</v>
      </c>
      <c r="F71" s="157">
        <v>0.97</v>
      </c>
      <c r="G71" s="2"/>
      <c r="H71" s="2"/>
      <c r="I71" s="171"/>
    </row>
    <row r="72">
      <c r="A72" s="90" t="s">
        <v>164</v>
      </c>
      <c r="B72" s="91" t="s">
        <v>165</v>
      </c>
      <c r="C72" s="92" t="s">
        <v>166</v>
      </c>
      <c r="D72" s="157">
        <v>-15.54</v>
      </c>
      <c r="E72" s="157">
        <v>-12.92</v>
      </c>
      <c r="F72" s="178">
        <v>-9.41</v>
      </c>
      <c r="G72" s="2"/>
      <c r="H72" s="2"/>
      <c r="I72" s="171"/>
    </row>
    <row r="73">
      <c r="A73" s="93"/>
      <c r="B73" s="99" t="s">
        <v>167</v>
      </c>
      <c r="C73" s="100" t="s">
        <v>168</v>
      </c>
      <c r="D73" s="163">
        <f t="shared" ref="D73:E73" si="21">C21/C22</f>
        <v>7.77689243</v>
      </c>
      <c r="E73" s="163">
        <f t="shared" si="21"/>
        <v>8.56375</v>
      </c>
      <c r="F73" s="175">
        <f>K37/K26</f>
        <v>0.7118682042</v>
      </c>
      <c r="G73" s="2"/>
      <c r="H73" s="2"/>
      <c r="I73" s="171"/>
    </row>
    <row r="74">
      <c r="A74" s="90" t="s">
        <v>169</v>
      </c>
      <c r="B74" s="99" t="s">
        <v>170</v>
      </c>
      <c r="C74" s="100" t="s">
        <v>172</v>
      </c>
      <c r="D74" s="163">
        <f t="shared" ref="D74:E74" si="22">I60/I63</f>
        <v>0.2580645161</v>
      </c>
      <c r="E74" s="163">
        <f t="shared" si="22"/>
        <v>0.06442032625</v>
      </c>
      <c r="F74" s="163">
        <f>E21/E22</f>
        <v>7.763877382</v>
      </c>
      <c r="G74" s="2"/>
      <c r="H74" s="2"/>
      <c r="I74" s="171"/>
    </row>
    <row r="75">
      <c r="A75" s="93"/>
      <c r="B75" s="115" t="s">
        <v>173</v>
      </c>
      <c r="C75" s="179" t="s">
        <v>174</v>
      </c>
      <c r="D75" s="116">
        <v>-25.04</v>
      </c>
      <c r="E75" s="116">
        <v>-18.7</v>
      </c>
      <c r="F75" s="100">
        <v>-13.1</v>
      </c>
      <c r="G75" s="2"/>
      <c r="H75" s="2"/>
      <c r="I75" s="171"/>
    </row>
    <row r="76">
      <c r="A76" s="93"/>
      <c r="B76" s="16" t="s">
        <v>176</v>
      </c>
      <c r="C76" s="117"/>
      <c r="D76" s="180">
        <f>C26/722.7</f>
        <v>11.37954891</v>
      </c>
      <c r="E76" s="180">
        <f t="shared" ref="E76:F76" si="23">D26/731.3</f>
        <v>11.58156707</v>
      </c>
      <c r="F76" s="181">
        <f t="shared" si="23"/>
        <v>8.447148913</v>
      </c>
      <c r="G76" s="2"/>
      <c r="H76" s="2"/>
      <c r="I76" s="171"/>
    </row>
    <row r="77">
      <c r="A77" s="93"/>
      <c r="B77" s="119"/>
      <c r="C77" s="182"/>
      <c r="D77" s="2"/>
      <c r="E77" s="2"/>
      <c r="F77" s="2"/>
      <c r="G77" s="2"/>
      <c r="H77" s="2"/>
      <c r="I77" s="171"/>
    </row>
    <row r="78">
      <c r="A78" s="183"/>
      <c r="F78" s="2"/>
      <c r="G78" s="2"/>
      <c r="H78" s="2"/>
      <c r="I78" s="171"/>
    </row>
    <row r="79">
      <c r="A79" s="153" t="s">
        <v>110</v>
      </c>
      <c r="B79" s="154" t="s">
        <v>112</v>
      </c>
      <c r="C79" s="154" t="s">
        <v>113</v>
      </c>
      <c r="D79" s="154">
        <v>2024.0</v>
      </c>
      <c r="E79" s="154">
        <v>2023.0</v>
      </c>
      <c r="F79" s="155">
        <v>2022.0</v>
      </c>
    </row>
    <row r="80">
      <c r="A80" s="90" t="s">
        <v>116</v>
      </c>
      <c r="B80" s="91" t="s">
        <v>119</v>
      </c>
      <c r="C80" s="92" t="s">
        <v>120</v>
      </c>
      <c r="D80" s="92">
        <v>1.3</v>
      </c>
      <c r="E80" s="92">
        <v>1.21</v>
      </c>
      <c r="F80" s="92">
        <v>1.29</v>
      </c>
    </row>
    <row r="81">
      <c r="A81" s="93"/>
      <c r="B81" s="91" t="s">
        <v>121</v>
      </c>
      <c r="C81" s="92" t="s">
        <v>122</v>
      </c>
      <c r="D81" s="94">
        <v>0.53</v>
      </c>
      <c r="E81" s="94">
        <v>0.45</v>
      </c>
      <c r="F81" s="94">
        <v>0.51</v>
      </c>
    </row>
    <row r="82">
      <c r="A82" s="95"/>
      <c r="B82" s="91" t="s">
        <v>124</v>
      </c>
      <c r="C82" s="92" t="s">
        <v>125</v>
      </c>
      <c r="D82" s="92">
        <f>6095600000/5746000000</f>
        <v>1.060842325</v>
      </c>
      <c r="E82" s="92">
        <f>6008700000/5356500000</f>
        <v>1.121758611</v>
      </c>
      <c r="F82" s="92">
        <f>4397300000/4696100000</f>
        <v>0.9363727348</v>
      </c>
    </row>
    <row r="83">
      <c r="A83" s="90" t="s">
        <v>131</v>
      </c>
      <c r="B83" s="99" t="s">
        <v>133</v>
      </c>
      <c r="C83" s="100" t="s">
        <v>136</v>
      </c>
      <c r="D83" s="100">
        <v>16.74</v>
      </c>
      <c r="E83" s="100">
        <v>17.1</v>
      </c>
      <c r="F83" s="100">
        <v>17.08</v>
      </c>
    </row>
    <row r="84">
      <c r="A84" s="93"/>
      <c r="B84" s="99" t="s">
        <v>138</v>
      </c>
      <c r="C84" s="100" t="s">
        <v>139</v>
      </c>
      <c r="D84" s="100">
        <v>26.15</v>
      </c>
      <c r="E84" s="100">
        <v>28.8</v>
      </c>
      <c r="F84" s="100">
        <v>28.76</v>
      </c>
    </row>
    <row r="85">
      <c r="A85" s="95"/>
      <c r="B85" s="99" t="s">
        <v>140</v>
      </c>
      <c r="C85" s="100" t="s">
        <v>141</v>
      </c>
      <c r="D85" s="100">
        <v>1.76</v>
      </c>
      <c r="E85" s="100">
        <v>1.9</v>
      </c>
      <c r="F85" s="100">
        <v>1.8</v>
      </c>
    </row>
    <row r="86">
      <c r="A86" s="90" t="s">
        <v>143</v>
      </c>
      <c r="B86" s="91" t="s">
        <v>145</v>
      </c>
      <c r="C86" s="92" t="s">
        <v>146</v>
      </c>
      <c r="D86" s="107">
        <v>0.268</v>
      </c>
      <c r="E86" s="107">
        <v>0.274</v>
      </c>
      <c r="F86" s="107">
        <v>0.259</v>
      </c>
    </row>
    <row r="87">
      <c r="A87" s="93"/>
      <c r="B87" s="99" t="s">
        <v>147</v>
      </c>
      <c r="C87" s="100" t="s">
        <v>148</v>
      </c>
      <c r="D87" s="109">
        <v>0.1495</v>
      </c>
      <c r="E87" s="109">
        <v>0.1632</v>
      </c>
      <c r="F87" s="109">
        <v>0.1432</v>
      </c>
    </row>
    <row r="88">
      <c r="A88" s="93"/>
      <c r="B88" s="91" t="s">
        <v>150</v>
      </c>
      <c r="C88" s="92" t="s">
        <v>151</v>
      </c>
      <c r="D88" s="107">
        <v>0.104</v>
      </c>
      <c r="E88" s="107">
        <v>0.115</v>
      </c>
      <c r="F88" s="107">
        <v>0.102</v>
      </c>
    </row>
    <row r="89">
      <c r="A89" s="93"/>
      <c r="B89" s="91" t="s">
        <v>153</v>
      </c>
      <c r="C89" s="92" t="s">
        <v>154</v>
      </c>
      <c r="D89" s="107">
        <v>0.1827</v>
      </c>
      <c r="E89" s="107">
        <v>0.2175</v>
      </c>
      <c r="F89" s="107">
        <v>0.1828</v>
      </c>
    </row>
    <row r="90">
      <c r="A90" s="93"/>
      <c r="B90" s="99" t="s">
        <v>156</v>
      </c>
      <c r="C90" s="100" t="s">
        <v>157</v>
      </c>
      <c r="D90" s="109">
        <v>0.496</v>
      </c>
      <c r="E90" s="109">
        <v>0.599</v>
      </c>
      <c r="F90" s="113">
        <v>0.48</v>
      </c>
    </row>
    <row r="91">
      <c r="A91" s="95"/>
      <c r="B91" s="91" t="s">
        <v>159</v>
      </c>
      <c r="C91" s="92" t="s">
        <v>160</v>
      </c>
      <c r="D91" s="100">
        <v>0.33</v>
      </c>
      <c r="E91" s="114">
        <v>0.33</v>
      </c>
      <c r="F91" s="92">
        <v>0.32</v>
      </c>
    </row>
    <row r="92">
      <c r="A92" s="90" t="s">
        <v>164</v>
      </c>
      <c r="B92" s="91" t="s">
        <v>165</v>
      </c>
      <c r="C92" s="92" t="s">
        <v>166</v>
      </c>
      <c r="D92" s="92">
        <v>1.72</v>
      </c>
      <c r="E92" s="92">
        <v>1.75</v>
      </c>
      <c r="F92" s="114">
        <v>1.63</v>
      </c>
    </row>
    <row r="93">
      <c r="A93" s="93"/>
      <c r="B93" s="99" t="s">
        <v>167</v>
      </c>
      <c r="C93" s="100" t="s">
        <v>168</v>
      </c>
      <c r="D93" s="100">
        <v>9.62</v>
      </c>
      <c r="E93" s="100">
        <v>10.67</v>
      </c>
      <c r="F93" s="92">
        <v>9.56</v>
      </c>
    </row>
    <row r="94">
      <c r="A94" s="90" t="s">
        <v>169</v>
      </c>
      <c r="B94" s="99" t="s">
        <v>170</v>
      </c>
      <c r="C94" s="100" t="s">
        <v>172</v>
      </c>
      <c r="D94" s="100">
        <v>15.1</v>
      </c>
      <c r="E94" s="100">
        <v>14.0</v>
      </c>
      <c r="F94" s="100">
        <v>17.7</v>
      </c>
    </row>
    <row r="95">
      <c r="A95" s="93"/>
      <c r="B95" s="115" t="s">
        <v>173</v>
      </c>
      <c r="C95" s="179" t="s">
        <v>174</v>
      </c>
      <c r="D95" s="116">
        <v>7.5</v>
      </c>
      <c r="E95" s="116">
        <v>8.36</v>
      </c>
      <c r="F95" s="100">
        <v>8.49</v>
      </c>
    </row>
    <row r="96">
      <c r="A96" s="93"/>
      <c r="B96" s="16" t="s">
        <v>176</v>
      </c>
      <c r="C96" s="117"/>
      <c r="D96" s="118">
        <v>3.31</v>
      </c>
      <c r="E96" s="118">
        <v>3.58</v>
      </c>
      <c r="F96" s="116">
        <v>2.83</v>
      </c>
    </row>
    <row r="97">
      <c r="A97" s="93"/>
      <c r="B97" s="119"/>
      <c r="C97" s="182"/>
      <c r="D97" s="2"/>
      <c r="E97" s="2"/>
      <c r="F97" s="2"/>
    </row>
  </sheetData>
  <mergeCells count="16">
    <mergeCell ref="B3:K4"/>
    <mergeCell ref="B5:E5"/>
    <mergeCell ref="H5:K5"/>
    <mergeCell ref="C10:E10"/>
    <mergeCell ref="C16:E16"/>
    <mergeCell ref="H56:K56"/>
    <mergeCell ref="A60:A62"/>
    <mergeCell ref="A92:A93"/>
    <mergeCell ref="A94:A97"/>
    <mergeCell ref="A63:A65"/>
    <mergeCell ref="A66:A71"/>
    <mergeCell ref="A72:A73"/>
    <mergeCell ref="A74:A77"/>
    <mergeCell ref="A80:A82"/>
    <mergeCell ref="A83:A85"/>
    <mergeCell ref="A86:A9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44.5"/>
    <col customWidth="1" min="3" max="3" width="24.25"/>
    <col customWidth="1" min="4" max="4" width="35.0"/>
    <col customWidth="1" min="5" max="5" width="29.75"/>
    <col customWidth="1" min="6" max="6" width="30.63"/>
    <col customWidth="1" min="7" max="7" width="53.38"/>
    <col customWidth="1" min="8" max="8" width="21.5"/>
    <col customWidth="1" min="9" max="9" width="26.5"/>
    <col customWidth="1" min="10" max="10" width="2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4" t="s">
        <v>1</v>
      </c>
      <c r="K3" s="1"/>
    </row>
    <row r="4">
      <c r="A4" s="1"/>
      <c r="K4" s="1"/>
    </row>
    <row r="5">
      <c r="A5" s="1"/>
      <c r="B5" s="6" t="s">
        <v>2</v>
      </c>
      <c r="F5" s="1"/>
      <c r="G5" s="8" t="s">
        <v>3</v>
      </c>
      <c r="K5" s="1"/>
    </row>
    <row r="6">
      <c r="A6" s="1"/>
      <c r="B6" s="11"/>
      <c r="C6" s="11">
        <v>2024.0</v>
      </c>
      <c r="D6" s="11">
        <v>2023.0</v>
      </c>
      <c r="E6" s="11">
        <v>2022.0</v>
      </c>
      <c r="F6" s="1"/>
      <c r="G6" s="11"/>
      <c r="H6" s="11">
        <v>2024.0</v>
      </c>
      <c r="I6" s="11">
        <v>2023.0</v>
      </c>
      <c r="J6" s="11">
        <v>2022.0</v>
      </c>
      <c r="K6" s="1"/>
    </row>
    <row r="7" ht="21.75" customHeight="1">
      <c r="A7" s="1"/>
      <c r="B7" s="16" t="s">
        <v>5</v>
      </c>
      <c r="C7" s="16" t="s">
        <v>7</v>
      </c>
      <c r="D7" s="16" t="s">
        <v>7</v>
      </c>
      <c r="E7" s="16" t="s">
        <v>7</v>
      </c>
      <c r="F7" s="1"/>
      <c r="G7" s="19"/>
      <c r="H7" s="16" t="s">
        <v>7</v>
      </c>
      <c r="I7" s="16" t="s">
        <v>7</v>
      </c>
      <c r="J7" s="16" t="s">
        <v>7</v>
      </c>
      <c r="K7" s="1"/>
    </row>
    <row r="8">
      <c r="A8" s="1"/>
      <c r="B8" s="16" t="s">
        <v>8</v>
      </c>
      <c r="C8" s="22">
        <v>3.61762E10</v>
      </c>
      <c r="D8" s="22">
        <v>3.59756E10</v>
      </c>
      <c r="E8" s="22">
        <v>3.22503E10</v>
      </c>
      <c r="F8" s="1"/>
      <c r="G8" s="16" t="s">
        <v>9</v>
      </c>
      <c r="H8" s="24"/>
      <c r="I8" s="18"/>
      <c r="J8" s="20"/>
      <c r="K8" s="1"/>
    </row>
    <row r="9">
      <c r="A9" s="1"/>
      <c r="B9" s="16" t="s">
        <v>10</v>
      </c>
      <c r="C9" s="22">
        <v>2.64671E10</v>
      </c>
      <c r="D9" s="22">
        <v>2.61294E10</v>
      </c>
      <c r="E9" s="22">
        <v>2.38792E10</v>
      </c>
      <c r="F9" s="1"/>
      <c r="G9" s="16" t="s">
        <v>11</v>
      </c>
      <c r="H9" s="31"/>
      <c r="I9" s="32"/>
      <c r="J9" s="33"/>
      <c r="K9" s="1"/>
    </row>
    <row r="10">
      <c r="A10" s="1"/>
      <c r="B10" s="16" t="s">
        <v>13</v>
      </c>
      <c r="C10" s="22">
        <v>9.7091E9</v>
      </c>
      <c r="D10" s="22">
        <v>9.8462E9</v>
      </c>
      <c r="E10" s="22">
        <v>8.3711E9</v>
      </c>
      <c r="F10" s="1"/>
      <c r="G10" s="16" t="s">
        <v>14</v>
      </c>
      <c r="H10" s="22">
        <v>3.0629E9</v>
      </c>
      <c r="I10" s="22">
        <v>2.4051E9</v>
      </c>
      <c r="J10" s="22">
        <v>2.3733E9</v>
      </c>
      <c r="K10" s="1"/>
    </row>
    <row r="11">
      <c r="A11" s="1"/>
      <c r="B11" s="16" t="s">
        <v>16</v>
      </c>
      <c r="C11" s="38">
        <v>0.268</v>
      </c>
      <c r="D11" s="38">
        <v>0.274</v>
      </c>
      <c r="E11" s="38">
        <v>0.259</v>
      </c>
      <c r="F11" s="1"/>
      <c r="G11" s="16" t="s">
        <v>18</v>
      </c>
      <c r="H11" s="22">
        <v>1.3831E9</v>
      </c>
      <c r="I11" s="22">
        <v>1.2489E9</v>
      </c>
      <c r="J11" s="22">
        <v>1.1214E9</v>
      </c>
      <c r="K11" s="1"/>
    </row>
    <row r="12">
      <c r="A12" s="1"/>
      <c r="B12" s="16" t="s">
        <v>19</v>
      </c>
      <c r="C12" s="22">
        <v>4.3003E9</v>
      </c>
      <c r="D12" s="22">
        <v>3.9754E9</v>
      </c>
      <c r="E12" s="22">
        <v>3.7533E9</v>
      </c>
      <c r="F12" s="1"/>
      <c r="G12" s="16" t="s">
        <v>20</v>
      </c>
      <c r="H12" s="22">
        <v>1.5816E9</v>
      </c>
      <c r="I12" s="22">
        <v>1.5287E9</v>
      </c>
      <c r="J12" s="22">
        <v>1.3982E9</v>
      </c>
      <c r="K12" s="1"/>
    </row>
    <row r="13">
      <c r="A13" s="1"/>
      <c r="B13" s="16" t="s">
        <v>21</v>
      </c>
      <c r="C13" s="22">
        <v>5.4088E9</v>
      </c>
      <c r="D13" s="22">
        <v>5.8708E9</v>
      </c>
      <c r="E13" s="22">
        <v>4.6178E9</v>
      </c>
      <c r="F13" s="1"/>
      <c r="G13" s="16" t="s">
        <v>23</v>
      </c>
      <c r="H13" s="22">
        <v>1.4285E9</v>
      </c>
      <c r="I13" s="22">
        <v>1.2738E9</v>
      </c>
      <c r="J13" s="22">
        <v>1.1567E9</v>
      </c>
      <c r="K13" s="1"/>
    </row>
    <row r="14">
      <c r="A14" s="1"/>
      <c r="B14" s="16" t="s">
        <v>25</v>
      </c>
      <c r="C14" s="22">
        <v>5.62E8</v>
      </c>
      <c r="D14" s="22">
        <v>5.501E8</v>
      </c>
      <c r="E14" s="22">
        <v>4.829E8</v>
      </c>
      <c r="F14" s="1"/>
      <c r="G14" s="50" t="s">
        <v>26</v>
      </c>
      <c r="H14" s="52">
        <v>7.4561E9</v>
      </c>
      <c r="I14" s="52">
        <v>6.4565E9</v>
      </c>
      <c r="J14" s="52">
        <v>6.0496E9</v>
      </c>
      <c r="K14" s="1"/>
    </row>
    <row r="15">
      <c r="A15" s="1"/>
      <c r="B15" s="16" t="s">
        <v>30</v>
      </c>
      <c r="C15" s="22">
        <v>4.9696E9</v>
      </c>
      <c r="D15" s="22">
        <v>5.4019E9</v>
      </c>
      <c r="E15" s="22">
        <v>4.2319E9</v>
      </c>
      <c r="F15" s="1"/>
      <c r="G15" s="16" t="s">
        <v>31</v>
      </c>
      <c r="H15" s="57"/>
      <c r="I15" s="59"/>
      <c r="J15" s="60"/>
      <c r="K15" s="1"/>
    </row>
    <row r="16">
      <c r="A16" s="1"/>
      <c r="B16" s="16" t="s">
        <v>35</v>
      </c>
      <c r="C16" s="22">
        <v>1.2073E9</v>
      </c>
      <c r="D16" s="22">
        <v>1.2772E9</v>
      </c>
      <c r="E16" s="22">
        <v>9.485E8</v>
      </c>
      <c r="F16" s="1"/>
      <c r="G16" s="16" t="s">
        <v>36</v>
      </c>
      <c r="H16" s="22">
        <v>4.8917E9</v>
      </c>
      <c r="I16" s="22">
        <v>4.7634E9</v>
      </c>
      <c r="J16" s="22">
        <v>4.6128E9</v>
      </c>
      <c r="K16" s="1"/>
    </row>
    <row r="17">
      <c r="A17" s="1"/>
      <c r="B17" s="16" t="s">
        <v>37</v>
      </c>
      <c r="C17" s="22">
        <v>3.7609E9</v>
      </c>
      <c r="D17" s="22">
        <v>4.1245E9</v>
      </c>
      <c r="E17" s="22">
        <v>3.2816E9</v>
      </c>
      <c r="F17" s="1"/>
      <c r="G17" s="16" t="s">
        <v>39</v>
      </c>
      <c r="H17" s="22">
        <v>2.3456E9</v>
      </c>
      <c r="I17" s="22">
        <v>2.2893E9</v>
      </c>
      <c r="J17" s="22">
        <v>2.2678E9</v>
      </c>
      <c r="K17" s="1"/>
    </row>
    <row r="18">
      <c r="A18" s="1"/>
      <c r="B18" s="16" t="s">
        <v>40</v>
      </c>
      <c r="C18" s="38">
        <v>0.104</v>
      </c>
      <c r="D18" s="38">
        <v>0.115</v>
      </c>
      <c r="E18" s="38">
        <v>0.102</v>
      </c>
      <c r="F18" s="1"/>
      <c r="G18" s="16" t="s">
        <v>42</v>
      </c>
      <c r="H18" s="22">
        <v>5.8912E9</v>
      </c>
      <c r="I18" s="22">
        <v>5.4568E9</v>
      </c>
      <c r="J18" s="22">
        <v>5.1234E9</v>
      </c>
      <c r="K18" s="1"/>
    </row>
    <row r="19">
      <c r="A19" s="1"/>
      <c r="B19" s="21"/>
      <c r="C19" s="64"/>
      <c r="D19" s="64"/>
      <c r="E19" s="64"/>
      <c r="F19" s="1"/>
      <c r="G19" s="16" t="s">
        <v>45</v>
      </c>
      <c r="H19" s="22">
        <v>1.31285E10</v>
      </c>
      <c r="I19" s="22">
        <v>1.25095E10</v>
      </c>
      <c r="J19" s="22">
        <v>1.1904E10</v>
      </c>
      <c r="K19" s="1"/>
    </row>
    <row r="20">
      <c r="A20" s="1"/>
      <c r="B20" s="21"/>
      <c r="C20" s="1"/>
      <c r="D20" s="1"/>
      <c r="E20" s="1"/>
      <c r="F20" s="1"/>
      <c r="G20" s="50" t="s">
        <v>46</v>
      </c>
      <c r="H20" s="66">
        <v>2.05846E10</v>
      </c>
      <c r="I20" s="66">
        <v>1.8966E10</v>
      </c>
      <c r="J20" s="66">
        <v>1.79536E10</v>
      </c>
      <c r="K20" s="21" t="s">
        <v>50</v>
      </c>
    </row>
    <row r="21">
      <c r="A21" s="1"/>
      <c r="B21" s="21"/>
      <c r="C21" s="1"/>
      <c r="D21" s="1"/>
      <c r="E21" s="1"/>
      <c r="F21" s="1"/>
      <c r="G21" s="68" t="s">
        <v>52</v>
      </c>
      <c r="H21" s="69"/>
      <c r="I21" s="70"/>
      <c r="J21" s="71"/>
      <c r="K21" s="1"/>
    </row>
    <row r="22">
      <c r="A22" s="1"/>
      <c r="B22" s="21"/>
      <c r="C22" s="21"/>
      <c r="D22" s="21"/>
      <c r="E22" s="21"/>
      <c r="F22" s="21"/>
      <c r="G22" s="16" t="s">
        <v>59</v>
      </c>
      <c r="H22" s="73">
        <v>1.4568E9</v>
      </c>
      <c r="I22" s="73">
        <v>1.2894E9</v>
      </c>
      <c r="J22" s="73">
        <v>1.1567E9</v>
      </c>
      <c r="K22" s="1"/>
    </row>
    <row r="23">
      <c r="A23" s="1"/>
      <c r="B23" s="74"/>
      <c r="C23" s="21"/>
      <c r="D23" s="21"/>
      <c r="E23" s="21"/>
      <c r="F23" s="74"/>
      <c r="G23" s="16" t="s">
        <v>61</v>
      </c>
      <c r="H23" s="22">
        <v>5.0E8</v>
      </c>
      <c r="I23" s="22">
        <v>5.0E8</v>
      </c>
      <c r="J23" s="22">
        <v>2.5E8</v>
      </c>
      <c r="K23" s="1"/>
    </row>
    <row r="24">
      <c r="A24" s="1"/>
      <c r="B24" s="21"/>
      <c r="C24" s="21"/>
      <c r="D24" s="21"/>
      <c r="E24" s="21"/>
      <c r="F24" s="1"/>
      <c r="G24" s="16" t="s">
        <v>63</v>
      </c>
      <c r="H24" s="22">
        <v>3.7892E9</v>
      </c>
      <c r="I24" s="22">
        <v>3.5671E9</v>
      </c>
      <c r="J24" s="22">
        <v>3.2894E9</v>
      </c>
      <c r="K24" s="1"/>
    </row>
    <row r="25">
      <c r="A25" s="1"/>
      <c r="B25" s="21"/>
      <c r="C25" s="64"/>
      <c r="D25" s="64"/>
      <c r="E25" s="64"/>
      <c r="F25" s="1"/>
      <c r="G25" s="50" t="s">
        <v>64</v>
      </c>
      <c r="H25" s="52">
        <v>5.746E9</v>
      </c>
      <c r="I25" s="52">
        <v>5.3565E9</v>
      </c>
      <c r="J25" s="52">
        <v>4.6961E9</v>
      </c>
      <c r="K25" s="1"/>
    </row>
    <row r="26">
      <c r="A26" s="1"/>
      <c r="B26" s="21"/>
      <c r="C26" s="1"/>
      <c r="D26" s="1"/>
      <c r="E26" s="1"/>
      <c r="F26" s="1"/>
      <c r="G26" s="16" t="s">
        <v>65</v>
      </c>
      <c r="H26" s="22"/>
      <c r="I26" s="22"/>
      <c r="J26" s="22"/>
      <c r="K26" s="1"/>
    </row>
    <row r="27">
      <c r="A27" s="1"/>
      <c r="B27" s="21"/>
      <c r="C27" s="1"/>
      <c r="D27" s="1"/>
      <c r="E27" s="1"/>
      <c r="F27" s="1"/>
      <c r="G27" s="16" t="s">
        <v>66</v>
      </c>
      <c r="H27" s="22">
        <v>6.2357E9</v>
      </c>
      <c r="I27" s="22">
        <v>5.7893E9</v>
      </c>
      <c r="J27" s="22">
        <v>5.5678E9</v>
      </c>
      <c r="K27" s="1"/>
    </row>
    <row r="28">
      <c r="A28" s="1"/>
      <c r="B28" s="1"/>
      <c r="C28" s="1"/>
      <c r="D28" s="1"/>
      <c r="E28" s="1"/>
      <c r="F28" s="1"/>
      <c r="G28" s="16" t="s">
        <v>68</v>
      </c>
      <c r="H28" s="22">
        <v>1.0234E9</v>
      </c>
      <c r="I28" s="22">
        <v>9.342E8</v>
      </c>
      <c r="J28" s="22">
        <v>8.567E8</v>
      </c>
      <c r="K28" s="1"/>
    </row>
    <row r="29">
      <c r="A29" s="1"/>
      <c r="B29" s="74"/>
      <c r="C29" s="1"/>
      <c r="D29" s="1"/>
      <c r="E29" s="1"/>
      <c r="F29" s="1"/>
      <c r="G29" s="16" t="s">
        <v>70</v>
      </c>
      <c r="H29" s="22">
        <v>7.2591E9</v>
      </c>
      <c r="I29" s="22">
        <v>6.7235E9</v>
      </c>
      <c r="J29" s="22">
        <v>6.4245E9</v>
      </c>
      <c r="K29" s="1"/>
    </row>
    <row r="30">
      <c r="A30" s="1"/>
      <c r="B30" s="21"/>
      <c r="C30" s="21"/>
      <c r="D30" s="64"/>
      <c r="E30" s="64"/>
      <c r="F30" s="1"/>
      <c r="G30" s="16" t="s">
        <v>72</v>
      </c>
      <c r="H30" s="75">
        <v>1.30051E10</v>
      </c>
      <c r="I30" s="75">
        <v>1.208E10</v>
      </c>
      <c r="J30" s="75">
        <v>1.11206E10</v>
      </c>
      <c r="K30" s="1"/>
    </row>
    <row r="31">
      <c r="A31" s="1"/>
      <c r="B31" s="21"/>
      <c r="C31" s="21"/>
      <c r="D31" s="21"/>
      <c r="E31" s="21"/>
      <c r="F31" s="1"/>
      <c r="G31" s="68" t="s">
        <v>76</v>
      </c>
      <c r="H31" s="57"/>
      <c r="I31" s="77"/>
      <c r="J31" s="78"/>
      <c r="K31" s="1"/>
    </row>
    <row r="32">
      <c r="A32" s="1"/>
      <c r="B32" s="1"/>
      <c r="C32" s="1"/>
      <c r="D32" s="1"/>
      <c r="E32" s="1"/>
      <c r="F32" s="1"/>
      <c r="G32" s="16" t="s">
        <v>81</v>
      </c>
      <c r="H32" s="73">
        <v>2.42E7</v>
      </c>
      <c r="I32" s="73">
        <v>2.41E7</v>
      </c>
      <c r="J32" s="73">
        <v>2.4E7</v>
      </c>
      <c r="K32" s="1"/>
    </row>
    <row r="33">
      <c r="A33" s="1"/>
      <c r="B33" s="1"/>
      <c r="C33" s="1"/>
      <c r="D33" s="1"/>
      <c r="E33" s="1"/>
      <c r="F33" s="1"/>
      <c r="G33" s="50" t="s">
        <v>83</v>
      </c>
      <c r="H33" s="52">
        <v>4.8675E9</v>
      </c>
      <c r="I33" s="52">
        <v>4.2341E9</v>
      </c>
      <c r="J33" s="52">
        <v>3.6789E9</v>
      </c>
      <c r="K33" s="1"/>
    </row>
    <row r="34">
      <c r="A34" s="1"/>
      <c r="B34" s="21"/>
      <c r="C34" s="21"/>
      <c r="D34" s="21"/>
      <c r="E34" s="21"/>
      <c r="F34" s="1"/>
      <c r="G34" s="16" t="s">
        <v>86</v>
      </c>
      <c r="H34" s="22">
        <v>-3.112E9</v>
      </c>
      <c r="I34" s="22">
        <v>-2.3722E9</v>
      </c>
      <c r="J34" s="22">
        <v>-1.8699E9</v>
      </c>
      <c r="K34" s="1"/>
    </row>
    <row r="35">
      <c r="A35" s="1"/>
      <c r="B35" s="80" t="s">
        <v>87</v>
      </c>
      <c r="C35" s="59"/>
      <c r="D35" s="59"/>
      <c r="E35" s="60"/>
      <c r="F35" s="1"/>
      <c r="G35" s="16" t="s">
        <v>88</v>
      </c>
      <c r="H35" s="22">
        <v>7.5795E9</v>
      </c>
      <c r="I35" s="22">
        <v>6.886E9</v>
      </c>
      <c r="J35" s="22">
        <v>6.833E9</v>
      </c>
      <c r="K35" s="1"/>
    </row>
    <row r="36">
      <c r="A36" s="1"/>
      <c r="B36" s="81"/>
      <c r="C36" s="81">
        <v>2024.0</v>
      </c>
      <c r="D36" s="81">
        <v>2023.0</v>
      </c>
      <c r="E36" s="81">
        <v>2022.0</v>
      </c>
      <c r="F36" s="1"/>
      <c r="G36" s="50" t="s">
        <v>90</v>
      </c>
      <c r="H36" s="52">
        <v>2.05846E10</v>
      </c>
      <c r="I36" s="52">
        <v>1.8966E10</v>
      </c>
      <c r="J36" s="52">
        <v>1.79536E10</v>
      </c>
      <c r="K36" s="1"/>
    </row>
    <row r="37">
      <c r="A37" s="1"/>
      <c r="B37" s="81" t="s">
        <v>92</v>
      </c>
      <c r="C37" s="82">
        <v>1.137</v>
      </c>
      <c r="D37" s="82">
        <v>1.151</v>
      </c>
      <c r="E37" s="81">
        <v>1.159</v>
      </c>
      <c r="F37" s="1"/>
      <c r="G37" s="21"/>
      <c r="H37" s="1"/>
      <c r="I37" s="1"/>
      <c r="J37" s="1"/>
      <c r="K37" s="1"/>
    </row>
    <row r="38">
      <c r="A38" s="1"/>
      <c r="B38" s="81" t="s">
        <v>93</v>
      </c>
      <c r="C38" s="81"/>
      <c r="D38" s="81"/>
      <c r="E38" s="81">
        <v>50.0</v>
      </c>
      <c r="F38" s="1"/>
      <c r="G38" s="1"/>
      <c r="H38" s="1"/>
      <c r="I38" s="1"/>
      <c r="J38" s="1"/>
      <c r="K38" s="1"/>
    </row>
    <row r="39">
      <c r="A39" s="1"/>
      <c r="B39" s="81" t="s">
        <v>95</v>
      </c>
      <c r="C39" s="81"/>
      <c r="D39" s="81"/>
      <c r="E39" s="81">
        <f>E37*E38</f>
        <v>57.95</v>
      </c>
      <c r="F39" s="1"/>
      <c r="G39" s="1"/>
      <c r="H39" s="1"/>
      <c r="I39" s="1"/>
      <c r="J39" s="1"/>
      <c r="K39" s="1"/>
    </row>
    <row r="40">
      <c r="A40" s="1"/>
      <c r="B40" s="81" t="s">
        <v>102</v>
      </c>
      <c r="C40" s="81"/>
      <c r="D40" s="81"/>
      <c r="E40" s="81"/>
      <c r="F40" s="1"/>
      <c r="G40" s="1"/>
      <c r="H40" s="1"/>
      <c r="I40" s="1"/>
      <c r="J40" s="1"/>
      <c r="K40" s="1"/>
    </row>
    <row r="41">
      <c r="A41" s="1"/>
      <c r="B41" s="81"/>
      <c r="C41" s="81"/>
      <c r="D41" s="81"/>
      <c r="E41" s="81"/>
      <c r="F41" s="1"/>
      <c r="G41" s="84"/>
      <c r="H41" s="1"/>
      <c r="I41" s="85"/>
      <c r="J41" s="85"/>
      <c r="K41" s="1"/>
    </row>
    <row r="42">
      <c r="A42" s="1"/>
      <c r="B42" s="81"/>
      <c r="C42" s="81"/>
      <c r="D42" s="81"/>
      <c r="E42" s="81"/>
      <c r="F42" s="1"/>
      <c r="G42" s="84"/>
      <c r="H42" s="1"/>
      <c r="I42" s="85"/>
      <c r="J42" s="85"/>
      <c r="K42" s="1"/>
    </row>
    <row r="43">
      <c r="A43" s="1"/>
      <c r="B43" s="1"/>
      <c r="C43" s="1"/>
      <c r="D43" s="1"/>
      <c r="E43" s="1"/>
      <c r="F43" s="1"/>
      <c r="G43" s="84"/>
      <c r="H43" s="1"/>
      <c r="I43" s="85"/>
      <c r="J43" s="85"/>
      <c r="K43" s="1"/>
    </row>
    <row r="44">
      <c r="A44" s="1"/>
      <c r="B44" s="87" t="s">
        <v>110</v>
      </c>
      <c r="C44" s="88" t="s">
        <v>112</v>
      </c>
      <c r="D44" s="88" t="s">
        <v>113</v>
      </c>
      <c r="E44" s="88">
        <v>2024.0</v>
      </c>
      <c r="F44" s="88">
        <v>2023.0</v>
      </c>
      <c r="G44" s="89">
        <v>2022.0</v>
      </c>
      <c r="H44" s="1"/>
      <c r="I44" s="85"/>
      <c r="J44" s="85"/>
      <c r="K44" s="1"/>
    </row>
    <row r="45">
      <c r="A45" s="1"/>
      <c r="B45" s="90" t="s">
        <v>116</v>
      </c>
      <c r="C45" s="91" t="s">
        <v>119</v>
      </c>
      <c r="D45" s="92" t="s">
        <v>120</v>
      </c>
      <c r="E45" s="92">
        <v>1.3</v>
      </c>
      <c r="F45" s="92">
        <v>1.21</v>
      </c>
      <c r="G45" s="92">
        <v>1.29</v>
      </c>
      <c r="H45" s="1"/>
      <c r="I45" s="85"/>
      <c r="J45" s="85"/>
      <c r="K45" s="1"/>
    </row>
    <row r="46">
      <c r="A46" s="1"/>
      <c r="B46" s="93"/>
      <c r="C46" s="91" t="s">
        <v>121</v>
      </c>
      <c r="D46" s="92" t="s">
        <v>122</v>
      </c>
      <c r="E46" s="94">
        <v>0.53</v>
      </c>
      <c r="F46" s="94">
        <v>0.45</v>
      </c>
      <c r="G46" s="94">
        <v>0.51</v>
      </c>
      <c r="H46" s="1"/>
      <c r="I46" s="85"/>
      <c r="J46" s="85"/>
      <c r="K46" s="1"/>
    </row>
    <row r="47">
      <c r="A47" s="1"/>
      <c r="B47" s="95"/>
      <c r="C47" s="91" t="s">
        <v>124</v>
      </c>
      <c r="D47" s="92" t="s">
        <v>125</v>
      </c>
      <c r="E47" s="92">
        <f>6095600000/5746000000</f>
        <v>1.060842325</v>
      </c>
      <c r="F47" s="92">
        <f>6008700000/5356500000</f>
        <v>1.121758611</v>
      </c>
      <c r="G47" s="92">
        <f>4397300000/4696100000</f>
        <v>0.9363727348</v>
      </c>
      <c r="H47" s="1"/>
      <c r="I47" s="85"/>
      <c r="J47" s="85"/>
      <c r="K47" s="1"/>
    </row>
    <row r="48">
      <c r="A48" s="1"/>
      <c r="B48" s="90" t="s">
        <v>131</v>
      </c>
      <c r="C48" s="99" t="s">
        <v>133</v>
      </c>
      <c r="D48" s="100" t="s">
        <v>136</v>
      </c>
      <c r="E48" s="100">
        <v>16.74</v>
      </c>
      <c r="F48" s="100">
        <v>17.1</v>
      </c>
      <c r="G48" s="100">
        <v>17.08</v>
      </c>
      <c r="H48" s="1"/>
      <c r="I48" s="85"/>
      <c r="J48" s="85"/>
      <c r="K48" s="1"/>
    </row>
    <row r="49">
      <c r="A49" s="1"/>
      <c r="B49" s="93"/>
      <c r="C49" s="99" t="s">
        <v>138</v>
      </c>
      <c r="D49" s="100" t="s">
        <v>139</v>
      </c>
      <c r="E49" s="100">
        <v>26.15</v>
      </c>
      <c r="F49" s="100">
        <v>28.8</v>
      </c>
      <c r="G49" s="100">
        <v>28.76</v>
      </c>
      <c r="H49" s="1"/>
      <c r="I49" s="1"/>
      <c r="J49" s="1"/>
      <c r="K49" s="1"/>
    </row>
    <row r="50">
      <c r="A50" s="1"/>
      <c r="B50" s="95"/>
      <c r="C50" s="99" t="s">
        <v>140</v>
      </c>
      <c r="D50" s="100" t="s">
        <v>141</v>
      </c>
      <c r="E50" s="100">
        <v>1.76</v>
      </c>
      <c r="F50" s="100">
        <v>1.9</v>
      </c>
      <c r="G50" s="100">
        <v>1.8</v>
      </c>
      <c r="H50" s="1"/>
      <c r="I50" s="1"/>
      <c r="J50" s="1"/>
      <c r="K50" s="1"/>
    </row>
    <row r="51">
      <c r="A51" s="1"/>
      <c r="B51" s="90" t="s">
        <v>143</v>
      </c>
      <c r="C51" s="91" t="s">
        <v>145</v>
      </c>
      <c r="D51" s="92" t="s">
        <v>146</v>
      </c>
      <c r="E51" s="107">
        <v>0.268</v>
      </c>
      <c r="F51" s="107">
        <v>0.274</v>
      </c>
      <c r="G51" s="107">
        <v>0.259</v>
      </c>
      <c r="H51" s="1"/>
      <c r="I51" s="1"/>
      <c r="J51" s="1"/>
      <c r="K51" s="1"/>
    </row>
    <row r="52">
      <c r="A52" s="1"/>
      <c r="B52" s="93"/>
      <c r="C52" s="99" t="s">
        <v>147</v>
      </c>
      <c r="D52" s="100" t="s">
        <v>148</v>
      </c>
      <c r="E52" s="109">
        <v>0.1495</v>
      </c>
      <c r="F52" s="109">
        <v>0.1632</v>
      </c>
      <c r="G52" s="109">
        <v>0.1432</v>
      </c>
      <c r="H52" s="1"/>
      <c r="I52" s="1"/>
      <c r="J52" s="1"/>
      <c r="K52" s="1"/>
    </row>
    <row r="53">
      <c r="A53" s="1"/>
      <c r="B53" s="93"/>
      <c r="C53" s="91" t="s">
        <v>150</v>
      </c>
      <c r="D53" s="92" t="s">
        <v>151</v>
      </c>
      <c r="E53" s="107">
        <v>0.104</v>
      </c>
      <c r="F53" s="107">
        <v>0.115</v>
      </c>
      <c r="G53" s="107">
        <v>0.102</v>
      </c>
      <c r="H53" s="1"/>
      <c r="I53" s="1"/>
      <c r="J53" s="1"/>
      <c r="K53" s="1"/>
    </row>
    <row r="54">
      <c r="A54" s="1"/>
      <c r="B54" s="93"/>
      <c r="C54" s="91" t="s">
        <v>153</v>
      </c>
      <c r="D54" s="92" t="s">
        <v>154</v>
      </c>
      <c r="E54" s="107">
        <v>0.1827</v>
      </c>
      <c r="F54" s="107">
        <v>0.2175</v>
      </c>
      <c r="G54" s="107">
        <v>0.1828</v>
      </c>
      <c r="H54" s="1"/>
      <c r="I54" s="1"/>
      <c r="J54" s="1"/>
      <c r="K54" s="1"/>
    </row>
    <row r="55">
      <c r="A55" s="1"/>
      <c r="B55" s="93"/>
      <c r="C55" s="99" t="s">
        <v>156</v>
      </c>
      <c r="D55" s="100" t="s">
        <v>157</v>
      </c>
      <c r="E55" s="109">
        <v>0.496</v>
      </c>
      <c r="F55" s="109">
        <v>0.599</v>
      </c>
      <c r="G55" s="113">
        <v>0.48</v>
      </c>
      <c r="H55" s="1"/>
      <c r="I55" s="1"/>
      <c r="J55" s="1"/>
      <c r="K55" s="1"/>
    </row>
    <row r="56">
      <c r="A56" s="1"/>
      <c r="B56" s="95"/>
      <c r="C56" s="91" t="s">
        <v>159</v>
      </c>
      <c r="D56" s="92" t="s">
        <v>160</v>
      </c>
      <c r="E56" s="100">
        <v>0.33</v>
      </c>
      <c r="F56" s="114">
        <v>0.33</v>
      </c>
      <c r="G56" s="92">
        <v>0.32</v>
      </c>
      <c r="H56" s="1"/>
      <c r="I56" s="1"/>
      <c r="J56" s="1"/>
      <c r="K56" s="1"/>
    </row>
    <row r="57">
      <c r="A57" s="1"/>
      <c r="B57" s="90" t="s">
        <v>164</v>
      </c>
      <c r="C57" s="91" t="s">
        <v>165</v>
      </c>
      <c r="D57" s="92" t="s">
        <v>166</v>
      </c>
      <c r="E57" s="92">
        <v>1.72</v>
      </c>
      <c r="F57" s="92">
        <v>1.75</v>
      </c>
      <c r="G57" s="114">
        <v>1.63</v>
      </c>
      <c r="H57" s="1"/>
      <c r="I57" s="1"/>
      <c r="J57" s="1"/>
      <c r="K57" s="1"/>
    </row>
    <row r="58">
      <c r="A58" s="1"/>
      <c r="B58" s="93"/>
      <c r="C58" s="99" t="s">
        <v>167</v>
      </c>
      <c r="D58" s="100" t="s">
        <v>168</v>
      </c>
      <c r="E58" s="100">
        <v>9.62</v>
      </c>
      <c r="F58" s="100">
        <v>10.67</v>
      </c>
      <c r="G58" s="92">
        <v>9.56</v>
      </c>
      <c r="H58" s="1"/>
      <c r="I58" s="1"/>
      <c r="J58" s="1"/>
      <c r="K58" s="1"/>
    </row>
    <row r="59">
      <c r="A59" s="1"/>
      <c r="B59" s="90" t="s">
        <v>169</v>
      </c>
      <c r="C59" s="99" t="s">
        <v>170</v>
      </c>
      <c r="D59" s="100" t="s">
        <v>172</v>
      </c>
      <c r="E59" s="100">
        <v>15.1</v>
      </c>
      <c r="F59" s="100">
        <v>14.0</v>
      </c>
      <c r="G59" s="100">
        <v>17.7</v>
      </c>
      <c r="H59" s="1"/>
      <c r="I59" s="1"/>
      <c r="J59" s="1"/>
      <c r="K59" s="1"/>
    </row>
    <row r="60">
      <c r="A60" s="1"/>
      <c r="B60" s="93"/>
      <c r="C60" s="115" t="s">
        <v>173</v>
      </c>
      <c r="D60" s="116" t="s">
        <v>174</v>
      </c>
      <c r="E60" s="116">
        <v>7.5</v>
      </c>
      <c r="F60" s="116">
        <v>8.36</v>
      </c>
      <c r="G60" s="100">
        <v>8.49</v>
      </c>
      <c r="H60" s="1"/>
      <c r="I60" s="1"/>
      <c r="J60" s="1"/>
      <c r="K60" s="1"/>
    </row>
    <row r="61">
      <c r="A61" s="1"/>
      <c r="B61" s="93"/>
      <c r="C61" s="16" t="s">
        <v>176</v>
      </c>
      <c r="D61" s="117"/>
      <c r="E61" s="118">
        <v>3.31</v>
      </c>
      <c r="F61" s="118">
        <v>3.58</v>
      </c>
      <c r="G61" s="116">
        <v>2.83</v>
      </c>
      <c r="H61" s="1"/>
      <c r="I61" s="1"/>
      <c r="J61" s="1"/>
      <c r="K61" s="1"/>
    </row>
    <row r="62">
      <c r="A62" s="1"/>
      <c r="B62" s="93"/>
      <c r="C62" s="119"/>
      <c r="D62" s="120"/>
      <c r="E62" s="1"/>
      <c r="F62" s="1"/>
      <c r="G62" s="1"/>
      <c r="H62" s="1"/>
      <c r="I62" s="1"/>
      <c r="J62" s="1"/>
      <c r="K62" s="1"/>
    </row>
    <row r="63">
      <c r="A63" s="1"/>
      <c r="B63" s="121"/>
      <c r="C63" s="122"/>
      <c r="D63" s="123"/>
      <c r="E63" s="123"/>
      <c r="F63" s="123"/>
      <c r="G63" s="1"/>
      <c r="H63" s="1"/>
      <c r="I63" s="1"/>
      <c r="J63" s="1"/>
      <c r="K63" s="1"/>
    </row>
  </sheetData>
  <mergeCells count="11">
    <mergeCell ref="B48:B50"/>
    <mergeCell ref="B51:B56"/>
    <mergeCell ref="B57:B58"/>
    <mergeCell ref="B59:B62"/>
    <mergeCell ref="B3:J4"/>
    <mergeCell ref="B5:E5"/>
    <mergeCell ref="G5:J5"/>
    <mergeCell ref="H8:J9"/>
    <mergeCell ref="H15:J15"/>
    <mergeCell ref="B35:E35"/>
    <mergeCell ref="B45:B47"/>
  </mergeCells>
  <conditionalFormatting sqref="B6:E34 H7:J7">
    <cfRule type="notContainsBlanks" dxfId="4" priority="1">
      <formula>LEN(TRIM(B6))&gt;0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0.63"/>
    <col customWidth="1" min="3" max="5" width="12.63"/>
  </cols>
  <sheetData>
    <row r="1">
      <c r="A1" s="1"/>
      <c r="B1" s="15" t="s">
        <v>4</v>
      </c>
      <c r="C1" s="18"/>
      <c r="D1" s="18"/>
      <c r="E1" s="2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5"/>
      <c r="C2" s="27">
        <v>2024.0</v>
      </c>
      <c r="D2" s="27">
        <v>2023.0</v>
      </c>
      <c r="E2" s="30">
        <v>2022.0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8" t="s">
        <v>15</v>
      </c>
      <c r="C3" s="36"/>
      <c r="D3" s="36"/>
      <c r="E3" s="4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8" t="s">
        <v>22</v>
      </c>
      <c r="C4" s="46">
        <v>4964.3</v>
      </c>
      <c r="D4" s="46">
        <v>4701.6</v>
      </c>
      <c r="E4" s="48">
        <v>3597.2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8" t="s">
        <v>29</v>
      </c>
      <c r="C5" s="46"/>
      <c r="D5" s="54"/>
      <c r="E5" s="5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8" t="s">
        <v>34</v>
      </c>
      <c r="C6" s="46">
        <v>1405.7</v>
      </c>
      <c r="D6" s="46">
        <v>1307.7</v>
      </c>
      <c r="E6" s="48">
        <v>1175.9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8" t="s">
        <v>38</v>
      </c>
      <c r="C7" s="46">
        <v>-439.2</v>
      </c>
      <c r="D7" s="46">
        <v>15.8</v>
      </c>
      <c r="E7" s="48">
        <v>-31.3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8" t="s">
        <v>43</v>
      </c>
      <c r="C8" s="46">
        <v>674.8</v>
      </c>
      <c r="D8" s="46">
        <v>655.8</v>
      </c>
      <c r="E8" s="48">
        <v>645.3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8" t="s">
        <v>48</v>
      </c>
      <c r="C9" s="46">
        <v>291.0</v>
      </c>
      <c r="D9" s="46">
        <v>339.6</v>
      </c>
      <c r="E9" s="48">
        <v>163.5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 t="s">
        <v>55</v>
      </c>
      <c r="C10" s="46">
        <v>-91.3</v>
      </c>
      <c r="D10" s="46">
        <v>-5408.8</v>
      </c>
      <c r="E10" s="48">
        <v>81.2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8" t="s">
        <v>60</v>
      </c>
      <c r="C11" s="54"/>
      <c r="D11" s="54"/>
      <c r="E11" s="5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8" t="s">
        <v>62</v>
      </c>
      <c r="C12" s="46">
        <v>-22.8</v>
      </c>
      <c r="D12" s="46">
        <v>67.5</v>
      </c>
      <c r="E12" s="48">
        <v>43.2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53</v>
      </c>
      <c r="C13" s="46">
        <v>-122.8</v>
      </c>
      <c r="D13" s="46">
        <v>-81.2</v>
      </c>
      <c r="E13" s="48">
        <v>148.2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 t="s">
        <v>69</v>
      </c>
      <c r="C14" s="46">
        <v>301.0</v>
      </c>
      <c r="D14" s="46">
        <v>-93.7</v>
      </c>
      <c r="E14" s="48">
        <v>339.6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 t="s">
        <v>75</v>
      </c>
      <c r="C15" s="46">
        <v>85.9</v>
      </c>
      <c r="D15" s="46">
        <v>84.8</v>
      </c>
      <c r="E15" s="48">
        <v>-128.4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5"/>
      <c r="C16" s="54"/>
      <c r="D16" s="54"/>
      <c r="E16" s="5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8" t="s">
        <v>84</v>
      </c>
      <c r="C17" s="46">
        <v>6095.6</v>
      </c>
      <c r="D17" s="46">
        <v>6008.7</v>
      </c>
      <c r="E17" s="48">
        <v>4397.3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5"/>
      <c r="C18" s="54"/>
      <c r="D18" s="54"/>
      <c r="E18" s="5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8" t="s">
        <v>91</v>
      </c>
      <c r="C19" s="54"/>
      <c r="D19" s="54"/>
      <c r="E19" s="5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8" t="s">
        <v>96</v>
      </c>
      <c r="C20" s="46">
        <v>-627.5</v>
      </c>
      <c r="D20" s="46">
        <v>-450.2</v>
      </c>
      <c r="E20" s="48">
        <v>-385.3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8" t="s">
        <v>99</v>
      </c>
      <c r="C21" s="46">
        <v>426.1</v>
      </c>
      <c r="D21" s="46">
        <v>349.8</v>
      </c>
      <c r="E21" s="48">
        <v>268.5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8" t="s">
        <v>94</v>
      </c>
      <c r="C22" s="46">
        <v>-2150.3</v>
      </c>
      <c r="D22" s="46">
        <v>-1936.2</v>
      </c>
      <c r="E22" s="48">
        <v>-1823.5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8" t="s">
        <v>98</v>
      </c>
      <c r="C23" s="46">
        <v>110.0</v>
      </c>
      <c r="D23" s="46">
        <v>59.3</v>
      </c>
      <c r="E23" s="48">
        <v>72.7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8" t="s">
        <v>111</v>
      </c>
      <c r="C24" s="46">
        <v>-257.5</v>
      </c>
      <c r="D24" s="46">
        <v>-293.5</v>
      </c>
      <c r="E24" s="48">
        <v>-278.7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5"/>
      <c r="C25" s="54"/>
      <c r="D25" s="54"/>
      <c r="E25" s="5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8" t="s">
        <v>118</v>
      </c>
      <c r="C26" s="46">
        <v>-2699.2</v>
      </c>
      <c r="D26" s="46">
        <v>-2270.8</v>
      </c>
      <c r="E26" s="48">
        <v>-2146.3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5"/>
      <c r="C27" s="54"/>
      <c r="D27" s="54"/>
      <c r="E27" s="5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8" t="s">
        <v>123</v>
      </c>
      <c r="C28" s="54"/>
      <c r="D28" s="54"/>
      <c r="E28" s="5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8" t="s">
        <v>126</v>
      </c>
      <c r="C29" s="46">
        <v>1250.0</v>
      </c>
      <c r="D29" s="46">
        <v>1500.0</v>
      </c>
      <c r="E29" s="48">
        <v>2000.0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8" t="s">
        <v>128</v>
      </c>
      <c r="C30" s="46">
        <v>-2100.5</v>
      </c>
      <c r="D30" s="46">
        <v>-1825.3</v>
      </c>
      <c r="E30" s="48">
        <v>-3650.0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8" t="s">
        <v>129</v>
      </c>
      <c r="C31" s="46">
        <v>-1850.2</v>
      </c>
      <c r="D31" s="46">
        <v>-1920.8</v>
      </c>
      <c r="E31" s="48">
        <v>-3215.5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8" t="s">
        <v>130</v>
      </c>
      <c r="C32" s="46">
        <v>-1017.5</v>
      </c>
      <c r="D32" s="46">
        <v>-744.5</v>
      </c>
      <c r="E32" s="48">
        <v>-772.5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8" t="s">
        <v>134</v>
      </c>
      <c r="C33" s="46">
        <v>-100.0</v>
      </c>
      <c r="D33" s="46">
        <v>-100.0</v>
      </c>
      <c r="E33" s="48">
        <v>-100.0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5"/>
      <c r="C34" s="54"/>
      <c r="D34" s="54"/>
      <c r="E34" s="5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8" t="s">
        <v>144</v>
      </c>
      <c r="C35" s="46">
        <v>-3718.2</v>
      </c>
      <c r="D35" s="46">
        <v>-2990.6</v>
      </c>
      <c r="E35" s="48">
        <v>-5638.0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5"/>
      <c r="C36" s="54"/>
      <c r="D36" s="54"/>
      <c r="E36" s="5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8" t="s">
        <v>152</v>
      </c>
      <c r="C37" s="46">
        <v>56.5</v>
      </c>
      <c r="D37" s="46">
        <v>-14.2</v>
      </c>
      <c r="E37" s="48">
        <v>-250.3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5"/>
      <c r="C38" s="54"/>
      <c r="D38" s="54"/>
      <c r="E38" s="5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8" t="s">
        <v>162</v>
      </c>
      <c r="C39" s="46">
        <v>-265.3</v>
      </c>
      <c r="D39" s="46">
        <v>733.1</v>
      </c>
      <c r="E39" s="48">
        <v>-3637.3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5"/>
      <c r="C40" s="54"/>
      <c r="D40" s="54"/>
      <c r="E40" s="5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8" t="s">
        <v>171</v>
      </c>
      <c r="C41" s="54"/>
      <c r="D41" s="54"/>
      <c r="E41" s="5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8" t="s">
        <v>175</v>
      </c>
      <c r="C42" s="46">
        <v>2818.4</v>
      </c>
      <c r="D42" s="46">
        <v>6455.7</v>
      </c>
      <c r="E42" s="48">
        <v>10093.0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8" t="s">
        <v>177</v>
      </c>
      <c r="C43" s="46">
        <v>2553.1</v>
      </c>
      <c r="D43" s="46">
        <v>2818.4</v>
      </c>
      <c r="E43" s="48">
        <v>6455.7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5"/>
      <c r="C44" s="54"/>
      <c r="D44" s="54"/>
      <c r="E44" s="5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24" t="s">
        <v>181</v>
      </c>
      <c r="C45" s="126">
        <v>3945.3</v>
      </c>
      <c r="D45" s="126">
        <v>4072.5</v>
      </c>
      <c r="E45" s="127">
        <v>2573.8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</sheetData>
  <mergeCells count="1">
    <mergeCell ref="B1:E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88"/>
    <col customWidth="1" min="2" max="2" width="64.13"/>
    <col customWidth="1" min="3" max="3" width="17.75"/>
    <col customWidth="1" min="4" max="4" width="16.63"/>
    <col customWidth="1" min="5" max="5" width="17.75"/>
  </cols>
  <sheetData>
    <row r="1">
      <c r="A1" s="13"/>
      <c r="B1" s="17" t="s">
        <v>6</v>
      </c>
      <c r="C1" s="18"/>
      <c r="D1" s="18"/>
      <c r="E1" s="20"/>
      <c r="F1" s="2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3"/>
      <c r="B2" s="28"/>
      <c r="C2" s="27">
        <v>2024.0</v>
      </c>
      <c r="D2" s="27">
        <v>2023.0</v>
      </c>
      <c r="E2" s="30">
        <v>2022.0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3"/>
      <c r="B3" s="28" t="s">
        <v>15</v>
      </c>
      <c r="C3" s="41"/>
      <c r="D3" s="41"/>
      <c r="E3" s="4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3"/>
      <c r="B4" s="28" t="s">
        <v>27</v>
      </c>
      <c r="C4" s="46">
        <v>8.223E9</v>
      </c>
      <c r="D4" s="46">
        <v>8.469E9</v>
      </c>
      <c r="E4" s="48">
        <v>6.177E9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3"/>
      <c r="B5" s="28" t="s">
        <v>33</v>
      </c>
      <c r="C5" s="46"/>
      <c r="D5" s="54"/>
      <c r="E5" s="5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3"/>
      <c r="B6" s="28" t="s">
        <v>34</v>
      </c>
      <c r="C6" s="46">
        <v>2.097E9</v>
      </c>
      <c r="D6" s="46">
        <v>1.978E9</v>
      </c>
      <c r="E6" s="48">
        <v>1.871E9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28" t="s">
        <v>43</v>
      </c>
      <c r="C7" s="46">
        <v>1.72E8</v>
      </c>
      <c r="D7" s="46">
        <v>1.75E8</v>
      </c>
      <c r="E7" s="48">
        <v>1.67E8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28" t="s">
        <v>51</v>
      </c>
      <c r="C8" s="46">
        <v>-3.7E7</v>
      </c>
      <c r="D8" s="46">
        <v>-1.03E8</v>
      </c>
      <c r="E8" s="48">
        <v>7.33E8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28" t="s">
        <v>58</v>
      </c>
      <c r="C9" s="46">
        <v>-5.7E8</v>
      </c>
      <c r="D9" s="46">
        <v>-7.99E8</v>
      </c>
      <c r="E9" s="48">
        <v>-9.16E8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28" t="s">
        <v>60</v>
      </c>
      <c r="C10" s="54"/>
      <c r="D10" s="54"/>
      <c r="E10" s="5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28" t="s">
        <v>62</v>
      </c>
      <c r="C11" s="46">
        <v>-2.75E8</v>
      </c>
      <c r="D11" s="46">
        <v>-1.08E8</v>
      </c>
      <c r="E11" s="48">
        <v>-4.79E8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"/>
      <c r="B12" s="28" t="s">
        <v>67</v>
      </c>
      <c r="C12" s="46">
        <v>-1.63E8</v>
      </c>
      <c r="D12" s="46">
        <v>0.0</v>
      </c>
      <c r="E12" s="48">
        <v>0.0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3"/>
      <c r="B13" s="28" t="s">
        <v>73</v>
      </c>
      <c r="C13" s="46">
        <v>0.0</v>
      </c>
      <c r="D13" s="46">
        <v>0.0</v>
      </c>
      <c r="E13" s="48">
        <v>-1.66E8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79"/>
      <c r="B14" s="25"/>
      <c r="C14" s="54"/>
      <c r="D14" s="54"/>
      <c r="E14" s="5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/>
      <c r="B15" s="28" t="s">
        <v>84</v>
      </c>
      <c r="C15" s="46">
        <v>9.447E9</v>
      </c>
      <c r="D15" s="46">
        <v>9.612E9</v>
      </c>
      <c r="E15" s="48">
        <v>7.387E9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79"/>
      <c r="B16" s="25"/>
      <c r="C16" s="54"/>
      <c r="D16" s="54"/>
      <c r="E16" s="5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3"/>
      <c r="B17" s="28" t="s">
        <v>91</v>
      </c>
      <c r="C17" s="54"/>
      <c r="D17" s="54"/>
      <c r="E17" s="5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3"/>
      <c r="B18" s="28" t="s">
        <v>94</v>
      </c>
      <c r="C18" s="46">
        <v>-2.775E9</v>
      </c>
      <c r="D18" s="46">
        <v>-2.357E9</v>
      </c>
      <c r="E18" s="48">
        <v>-1.899E9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28" t="s">
        <v>98</v>
      </c>
      <c r="C19" s="46">
        <v>1.22E8</v>
      </c>
      <c r="D19" s="46">
        <v>9.5E7</v>
      </c>
      <c r="E19" s="48">
        <v>3.9E7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3"/>
      <c r="B20" s="28" t="s">
        <v>101</v>
      </c>
      <c r="C20" s="46">
        <v>-6.69E8</v>
      </c>
      <c r="D20" s="46">
        <v>-4.41E8</v>
      </c>
      <c r="E20" s="48">
        <v>-8.07E8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28" t="s">
        <v>107</v>
      </c>
      <c r="C21" s="46">
        <v>3.11E8</v>
      </c>
      <c r="D21" s="46">
        <v>1.95E8</v>
      </c>
      <c r="E21" s="48">
        <v>4.46E8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3"/>
      <c r="B22" s="28" t="s">
        <v>109</v>
      </c>
      <c r="C22" s="46">
        <v>-1.837E9</v>
      </c>
      <c r="D22" s="46">
        <v>0.0</v>
      </c>
      <c r="E22" s="48">
        <v>0.0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3"/>
      <c r="B23" s="28" t="s">
        <v>111</v>
      </c>
      <c r="C23" s="46">
        <v>-4.98E8</v>
      </c>
      <c r="D23" s="46">
        <v>-6.77E8</v>
      </c>
      <c r="E23" s="48">
        <v>-4.57E8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79"/>
      <c r="B24" s="25"/>
      <c r="C24" s="54"/>
      <c r="D24" s="54"/>
      <c r="E24" s="5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3"/>
      <c r="B25" s="28" t="s">
        <v>118</v>
      </c>
      <c r="C25" s="46">
        <v>-5.346E9</v>
      </c>
      <c r="D25" s="46">
        <v>-3.185E9</v>
      </c>
      <c r="E25" s="48">
        <v>-2.678E9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79"/>
      <c r="B26" s="25"/>
      <c r="C26" s="54"/>
      <c r="D26" s="54"/>
      <c r="E26" s="5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3"/>
      <c r="B27" s="28" t="s">
        <v>123</v>
      </c>
      <c r="C27" s="54"/>
      <c r="D27" s="54"/>
      <c r="E27" s="5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3"/>
      <c r="B28" s="28" t="s">
        <v>126</v>
      </c>
      <c r="C28" s="46">
        <v>2.706E9</v>
      </c>
      <c r="D28" s="46">
        <v>5.434E9</v>
      </c>
      <c r="E28" s="48">
        <v>3.4E9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3"/>
      <c r="B29" s="28" t="s">
        <v>128</v>
      </c>
      <c r="C29" s="46">
        <v>-2.777E9</v>
      </c>
      <c r="D29" s="46">
        <v>-2.441E9</v>
      </c>
      <c r="E29" s="48">
        <v>-2.202E9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3"/>
      <c r="B30" s="28" t="s">
        <v>129</v>
      </c>
      <c r="C30" s="46">
        <v>-2.824E9</v>
      </c>
      <c r="D30" s="46">
        <v>-3.054E9</v>
      </c>
      <c r="E30" s="48">
        <v>-3.896E9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3"/>
      <c r="B31" s="28" t="s">
        <v>130</v>
      </c>
      <c r="C31" s="46">
        <v>-4.87E9</v>
      </c>
      <c r="D31" s="46">
        <v>-4.533E9</v>
      </c>
      <c r="E31" s="48">
        <v>-4.168E9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3"/>
      <c r="B32" s="28" t="s">
        <v>134</v>
      </c>
      <c r="C32" s="46">
        <v>-5.8E7</v>
      </c>
      <c r="D32" s="46">
        <v>-4.0E7</v>
      </c>
      <c r="E32" s="48">
        <v>3.8E7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79"/>
      <c r="B33" s="25"/>
      <c r="C33" s="54"/>
      <c r="D33" s="54"/>
      <c r="E33" s="5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3"/>
      <c r="B34" s="28" t="s">
        <v>144</v>
      </c>
      <c r="C34" s="46">
        <v>-7.495E9</v>
      </c>
      <c r="D34" s="46">
        <v>-4.374E9</v>
      </c>
      <c r="E34" s="48">
        <v>-6.58E9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79"/>
      <c r="B35" s="25"/>
      <c r="C35" s="54"/>
      <c r="D35" s="54"/>
      <c r="E35" s="5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/>
      <c r="B36" s="28" t="s">
        <v>152</v>
      </c>
      <c r="C36" s="46">
        <v>-1.01E8</v>
      </c>
      <c r="D36" s="46">
        <v>-5.8E7</v>
      </c>
      <c r="E36" s="48">
        <v>-2.54E8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79"/>
      <c r="B37" s="25"/>
      <c r="C37" s="54"/>
      <c r="D37" s="54"/>
      <c r="E37" s="5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/>
      <c r="B38" s="28" t="s">
        <v>162</v>
      </c>
      <c r="C38" s="46">
        <v>-3.494E9</v>
      </c>
      <c r="D38" s="46">
        <v>1.995E9</v>
      </c>
      <c r="E38" s="48">
        <v>-2.125E9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79"/>
      <c r="B39" s="25"/>
      <c r="C39" s="54"/>
      <c r="D39" s="54"/>
      <c r="E39" s="5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3"/>
      <c r="B40" s="28" t="s">
        <v>171</v>
      </c>
      <c r="C40" s="54"/>
      <c r="D40" s="54"/>
      <c r="E40" s="5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3"/>
      <c r="B41" s="28" t="s">
        <v>175</v>
      </c>
      <c r="C41" s="46">
        <v>5.372E9</v>
      </c>
      <c r="D41" s="46">
        <v>3.377E9</v>
      </c>
      <c r="E41" s="48">
        <v>5.502E9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3"/>
      <c r="B42" s="28" t="s">
        <v>177</v>
      </c>
      <c r="C42" s="46">
        <v>1.878E9</v>
      </c>
      <c r="D42" s="46">
        <v>5.372E9</v>
      </c>
      <c r="E42" s="48">
        <v>3.377E9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79"/>
      <c r="B43" s="25"/>
      <c r="C43" s="54"/>
      <c r="D43" s="54"/>
      <c r="E43" s="5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3"/>
      <c r="B44" s="130" t="s">
        <v>190</v>
      </c>
      <c r="C44" s="131">
        <v>6.672E9</v>
      </c>
      <c r="D44" s="131">
        <v>7.255E9</v>
      </c>
      <c r="E44" s="134">
        <v>5.488E9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79"/>
      <c r="B45" s="79"/>
      <c r="C45" s="79"/>
      <c r="D45" s="79"/>
      <c r="E45" s="7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1">
    <mergeCell ref="B1:E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8.13"/>
    <col customWidth="1" min="3" max="3" width="19.88"/>
    <col customWidth="1" min="4" max="4" width="17.13"/>
  </cols>
  <sheetData>
    <row r="1">
      <c r="A1" s="132" t="s">
        <v>192</v>
      </c>
    </row>
    <row r="2">
      <c r="A2" s="135" t="s">
        <v>194</v>
      </c>
      <c r="B2" s="136">
        <v>38.5</v>
      </c>
      <c r="C2" s="135" t="s">
        <v>195</v>
      </c>
    </row>
    <row r="3">
      <c r="A3" s="135" t="s">
        <v>196</v>
      </c>
      <c r="B3" s="137">
        <v>0.1</v>
      </c>
    </row>
    <row r="4">
      <c r="A4" s="135" t="s">
        <v>197</v>
      </c>
      <c r="B4" s="137">
        <v>0.05</v>
      </c>
    </row>
    <row r="5">
      <c r="A5" s="135" t="s">
        <v>198</v>
      </c>
      <c r="B5" s="137">
        <v>0.15</v>
      </c>
    </row>
    <row r="6">
      <c r="A6" s="135" t="s">
        <v>199</v>
      </c>
      <c r="B6" s="137">
        <v>0.07</v>
      </c>
    </row>
    <row r="7">
      <c r="A7" s="135" t="s">
        <v>200</v>
      </c>
      <c r="B7" s="137">
        <v>0.03</v>
      </c>
    </row>
    <row r="8">
      <c r="A8" s="139" t="s">
        <v>201</v>
      </c>
      <c r="B8" s="140">
        <v>1.14</v>
      </c>
      <c r="C8" s="141" t="s">
        <v>195</v>
      </c>
      <c r="D8" s="142"/>
    </row>
    <row r="9">
      <c r="A9" s="142" t="s">
        <v>203</v>
      </c>
      <c r="B9" s="142" t="s">
        <v>204</v>
      </c>
      <c r="C9" s="142" t="s">
        <v>205</v>
      </c>
      <c r="D9" s="142" t="s">
        <v>206</v>
      </c>
    </row>
    <row r="10">
      <c r="A10" s="135">
        <v>2024.0</v>
      </c>
      <c r="B10" s="143">
        <f>B2*1+B3</f>
        <v>38.6</v>
      </c>
      <c r="C10" s="136">
        <f>B10*B5</f>
        <v>5.79</v>
      </c>
      <c r="D10" s="143">
        <f>C10/(1+$B6)^1</f>
        <v>5.411214953</v>
      </c>
    </row>
    <row r="11">
      <c r="A11" s="135">
        <v>2025.0</v>
      </c>
      <c r="B11" s="143">
        <f>B10*(1+B3)</f>
        <v>42.46</v>
      </c>
      <c r="C11" s="136">
        <f>B11*B5</f>
        <v>6.369</v>
      </c>
      <c r="D11" s="143">
        <f>C11/(1+$B6)^2</f>
        <v>5.56293126</v>
      </c>
    </row>
    <row r="12">
      <c r="A12" s="135">
        <v>2026.0</v>
      </c>
      <c r="B12" s="143">
        <f>B11*(1+B3)</f>
        <v>46.706</v>
      </c>
      <c r="C12" s="143">
        <f>B12*B5</f>
        <v>7.0059</v>
      </c>
      <c r="D12" s="143">
        <f>C12/(1+$B6)^3</f>
        <v>5.718901296</v>
      </c>
    </row>
    <row r="13">
      <c r="A13" s="135">
        <v>2027.0</v>
      </c>
      <c r="B13" s="143">
        <f>B12*(1+B3)</f>
        <v>51.3766</v>
      </c>
      <c r="C13" s="143">
        <f>B13*B5</f>
        <v>7.70649</v>
      </c>
      <c r="D13" s="143">
        <f>C13/(1+$B6)^4</f>
        <v>5.879244323</v>
      </c>
    </row>
    <row r="14">
      <c r="A14" s="135">
        <v>2028.0</v>
      </c>
      <c r="B14" s="143">
        <f t="shared" ref="B14:B15" si="1">B13*(1+B3)</f>
        <v>56.51426</v>
      </c>
      <c r="C14" s="143">
        <f>B14*B5</f>
        <v>8.477139</v>
      </c>
      <c r="D14" s="143">
        <f>C14/(1+$B6)^5</f>
        <v>6.044082949</v>
      </c>
    </row>
    <row r="15">
      <c r="A15" s="135">
        <v>2029.0</v>
      </c>
      <c r="B15" s="143">
        <f t="shared" si="1"/>
        <v>59.339973</v>
      </c>
      <c r="C15" s="143">
        <f>B15*B5</f>
        <v>8.90099595</v>
      </c>
      <c r="D15" s="143">
        <f>C15/(1+$B6)^6</f>
        <v>5.931109436</v>
      </c>
    </row>
    <row r="16">
      <c r="A16" s="135">
        <v>2030.0</v>
      </c>
      <c r="B16" s="143">
        <f>B15*(1+B4)</f>
        <v>62.30697165</v>
      </c>
      <c r="C16" s="143">
        <f>B16*B5</f>
        <v>9.346045748</v>
      </c>
      <c r="D16" s="143">
        <f>C16/(1+$B6)^7</f>
        <v>5.820247577</v>
      </c>
    </row>
    <row r="17">
      <c r="A17" s="135">
        <v>2031.0</v>
      </c>
      <c r="B17" s="143">
        <f>B16*(1+B4)</f>
        <v>65.42232023</v>
      </c>
      <c r="C17" s="143">
        <f>B17*B5</f>
        <v>9.813348035</v>
      </c>
      <c r="D17" s="143">
        <f>C17/(1+$B6)^8</f>
        <v>5.711457903</v>
      </c>
    </row>
    <row r="18">
      <c r="A18" s="135">
        <v>2032.0</v>
      </c>
      <c r="B18" s="143">
        <f>B17*(1+B4)</f>
        <v>68.69343624</v>
      </c>
      <c r="C18" s="143">
        <f>B18*B5</f>
        <v>10.30401544</v>
      </c>
      <c r="D18" s="143">
        <f>C18/(1+$B6)^9</f>
        <v>5.60470168</v>
      </c>
    </row>
    <row r="19">
      <c r="A19" s="161">
        <v>2033.0</v>
      </c>
      <c r="B19" s="162">
        <f>B18*(1+B4)</f>
        <v>72.12810806</v>
      </c>
      <c r="C19" s="162">
        <f>B19*B5</f>
        <v>10.81921621</v>
      </c>
      <c r="D19" s="162">
        <f>C19/(1+$B6)^10</f>
        <v>5.499940901</v>
      </c>
    </row>
    <row r="20">
      <c r="A20" s="165" t="s">
        <v>216</v>
      </c>
      <c r="D20" s="143">
        <f>SUM(D10:D19)</f>
        <v>57.18383228</v>
      </c>
    </row>
    <row r="21">
      <c r="A21" s="169" t="s">
        <v>217</v>
      </c>
      <c r="B21" s="32"/>
      <c r="C21" s="32"/>
      <c r="D21" s="162">
        <f>(C19*(1+B7)/(B6-B7)*1.07^10)</f>
        <v>548.0381731</v>
      </c>
    </row>
    <row r="22">
      <c r="A22" s="165" t="s">
        <v>218</v>
      </c>
      <c r="D22" s="143">
        <f>SUM(D20:D21)</f>
        <v>605.2220054</v>
      </c>
    </row>
    <row r="23">
      <c r="A23" s="169" t="s">
        <v>219</v>
      </c>
      <c r="B23" s="32"/>
      <c r="C23" s="32"/>
      <c r="D23" s="161">
        <v>23.16</v>
      </c>
    </row>
    <row r="24">
      <c r="A24" s="165" t="s">
        <v>220</v>
      </c>
      <c r="D24" s="143">
        <f>D22-D23</f>
        <v>582.0620054</v>
      </c>
    </row>
    <row r="25">
      <c r="A25" s="173" t="s">
        <v>221</v>
      </c>
      <c r="B25" s="59"/>
      <c r="C25" s="60"/>
      <c r="D25" s="174">
        <f>D24/B8</f>
        <v>510.5807065</v>
      </c>
    </row>
  </sheetData>
  <mergeCells count="7">
    <mergeCell ref="A1:D1"/>
    <mergeCell ref="A20:C20"/>
    <mergeCell ref="A21:C21"/>
    <mergeCell ref="A22:C22"/>
    <mergeCell ref="A23:C23"/>
    <mergeCell ref="A24:C24"/>
    <mergeCell ref="A25:C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0.5"/>
    <col customWidth="1" min="2" max="2" width="17.0"/>
    <col customWidth="1" min="3" max="3" width="22.25"/>
    <col customWidth="1" min="4" max="4" width="27.25"/>
    <col customWidth="1" min="5" max="5" width="21.0"/>
    <col customWidth="1" min="6" max="6" width="18.63"/>
    <col customWidth="1" min="7" max="7" width="20.5"/>
    <col customWidth="1" min="10" max="10" width="12.25"/>
  </cols>
  <sheetData>
    <row r="1">
      <c r="A1" s="184" t="s">
        <v>222</v>
      </c>
      <c r="B1" s="59"/>
      <c r="C1" s="59"/>
      <c r="D1" s="59"/>
      <c r="E1" s="59"/>
      <c r="F1" s="59"/>
      <c r="G1" s="60"/>
      <c r="H1" s="74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>
      <c r="A2" s="185" t="s">
        <v>203</v>
      </c>
      <c r="B2" s="142" t="s">
        <v>204</v>
      </c>
      <c r="C2" s="142" t="s">
        <v>223</v>
      </c>
      <c r="D2" s="142" t="s">
        <v>224</v>
      </c>
      <c r="E2" s="142" t="s">
        <v>225</v>
      </c>
      <c r="F2" s="142" t="s">
        <v>226</v>
      </c>
      <c r="G2" s="186" t="s">
        <v>227</v>
      </c>
      <c r="H2" s="187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>
      <c r="A3" s="188">
        <v>2021.0</v>
      </c>
      <c r="B3" s="189">
        <v>29.1</v>
      </c>
      <c r="C3" s="189">
        <v>3.2</v>
      </c>
      <c r="D3" s="189">
        <v>1.5</v>
      </c>
      <c r="E3" s="189">
        <v>1.8</v>
      </c>
      <c r="F3" s="189">
        <v>0.2</v>
      </c>
      <c r="G3" s="191">
        <f t="shared" ref="G3:G6" si="1">C3+D3-E3-F3</f>
        <v>2.7</v>
      </c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>
      <c r="A4" s="188">
        <v>2022.0</v>
      </c>
      <c r="B4" s="189">
        <v>31.0</v>
      </c>
      <c r="C4" s="189">
        <v>3.6</v>
      </c>
      <c r="D4" s="189">
        <v>1.6</v>
      </c>
      <c r="E4" s="189">
        <v>2.0</v>
      </c>
      <c r="F4" s="189">
        <v>0.3</v>
      </c>
      <c r="G4" s="191">
        <f t="shared" si="1"/>
        <v>2.9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188">
        <v>2023.0</v>
      </c>
      <c r="B5" s="189">
        <v>33.5</v>
      </c>
      <c r="C5" s="189">
        <v>4.0</v>
      </c>
      <c r="D5" s="189">
        <v>1.7</v>
      </c>
      <c r="E5" s="189">
        <v>2.1</v>
      </c>
      <c r="F5" s="189">
        <v>0.2</v>
      </c>
      <c r="G5" s="191">
        <f t="shared" si="1"/>
        <v>3.4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>
      <c r="A6" s="192">
        <v>2024.0</v>
      </c>
      <c r="B6" s="193">
        <v>36.2</v>
      </c>
      <c r="C6" s="193">
        <v>4.5</v>
      </c>
      <c r="D6" s="193">
        <v>1.8</v>
      </c>
      <c r="E6" s="193">
        <v>2.3</v>
      </c>
      <c r="F6" s="193">
        <v>0.3</v>
      </c>
      <c r="G6" s="194">
        <f t="shared" si="1"/>
        <v>3.7</v>
      </c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>
      <c r="A8" s="184" t="s">
        <v>230</v>
      </c>
      <c r="B8" s="59"/>
      <c r="C8" s="59"/>
      <c r="D8" s="59"/>
      <c r="E8" s="59"/>
      <c r="F8" s="60"/>
      <c r="G8" s="74"/>
      <c r="H8" s="74"/>
      <c r="I8" s="85"/>
      <c r="J8" s="142"/>
      <c r="K8" s="19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>
      <c r="A9" s="185" t="s">
        <v>203</v>
      </c>
      <c r="B9" s="142" t="s">
        <v>204</v>
      </c>
      <c r="C9" s="142" t="s">
        <v>231</v>
      </c>
      <c r="D9" s="142" t="s">
        <v>232</v>
      </c>
      <c r="E9" s="142" t="s">
        <v>233</v>
      </c>
      <c r="F9" s="186" t="s">
        <v>234</v>
      </c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>
      <c r="A10" s="188">
        <v>2025.0</v>
      </c>
      <c r="B10" s="189">
        <v>38.6</v>
      </c>
      <c r="C10" s="189">
        <v>0.06</v>
      </c>
      <c r="D10" s="189">
        <v>0.15</v>
      </c>
      <c r="E10" s="196">
        <f t="shared" ref="E10:E14" si="2">B10*D10</f>
        <v>5.79</v>
      </c>
      <c r="F10" s="197">
        <f>E10*(1+D20)^1</f>
        <v>6.20688</v>
      </c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>
      <c r="A11" s="188">
        <v>2026.0</v>
      </c>
      <c r="B11" s="189">
        <v>42.46</v>
      </c>
      <c r="C11" s="189">
        <v>0.1</v>
      </c>
      <c r="D11" s="189">
        <v>0.15</v>
      </c>
      <c r="E11" s="196">
        <f t="shared" si="2"/>
        <v>6.369</v>
      </c>
      <c r="F11" s="197">
        <f t="shared" ref="F11:F14" si="3">E11*(1+I9)^1</f>
        <v>6.369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188">
        <v>2027.0</v>
      </c>
      <c r="B12" s="189">
        <v>46.71</v>
      </c>
      <c r="C12" s="189">
        <v>0.1</v>
      </c>
      <c r="D12" s="189">
        <v>0.15</v>
      </c>
      <c r="E12" s="196">
        <f t="shared" si="2"/>
        <v>7.0065</v>
      </c>
      <c r="F12" s="197">
        <f t="shared" si="3"/>
        <v>7.0065</v>
      </c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>
      <c r="A13" s="188">
        <v>2028.0</v>
      </c>
      <c r="B13" s="189">
        <v>51.38</v>
      </c>
      <c r="C13" s="189">
        <v>0.1</v>
      </c>
      <c r="D13" s="189">
        <v>0.15</v>
      </c>
      <c r="E13" s="196">
        <f t="shared" si="2"/>
        <v>7.707</v>
      </c>
      <c r="F13" s="197">
        <f t="shared" si="3"/>
        <v>7.707</v>
      </c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>
      <c r="A14" s="192">
        <v>2029.0</v>
      </c>
      <c r="B14" s="193">
        <v>56.51</v>
      </c>
      <c r="C14" s="193">
        <v>0.1</v>
      </c>
      <c r="D14" s="193">
        <v>0.15</v>
      </c>
      <c r="E14" s="198">
        <f t="shared" si="2"/>
        <v>8.4765</v>
      </c>
      <c r="F14" s="199">
        <f t="shared" si="3"/>
        <v>8.4765</v>
      </c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>
      <c r="A16" s="184" t="s">
        <v>236</v>
      </c>
      <c r="B16" s="59"/>
      <c r="C16" s="59"/>
      <c r="D16" s="60"/>
      <c r="E16" s="74"/>
      <c r="F16" s="201" t="s">
        <v>237</v>
      </c>
      <c r="G16" s="202">
        <v>0.25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>
      <c r="A17" s="185" t="s">
        <v>239</v>
      </c>
      <c r="B17" s="142" t="s">
        <v>240</v>
      </c>
      <c r="C17" s="142" t="s">
        <v>241</v>
      </c>
      <c r="D17" s="186" t="s">
        <v>242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>
      <c r="A18" s="188" t="s">
        <v>243</v>
      </c>
      <c r="B18" s="205">
        <v>70.0</v>
      </c>
      <c r="C18" s="205">
        <v>9.0</v>
      </c>
      <c r="D18" s="206">
        <f>B18*C18/100</f>
        <v>6.3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>
      <c r="A19" s="188" t="s">
        <v>244</v>
      </c>
      <c r="B19" s="205">
        <v>30.0</v>
      </c>
      <c r="C19" s="205">
        <v>4.0</v>
      </c>
      <c r="D19" s="206">
        <f>(((B19*C19)/100))*(1-G16)</f>
        <v>0.9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>
      <c r="A20" s="201" t="s">
        <v>199</v>
      </c>
      <c r="B20" s="207"/>
      <c r="C20" s="207"/>
      <c r="D20" s="208">
        <v>0.072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>
      <c r="A22" s="184" t="s">
        <v>245</v>
      </c>
      <c r="B22" s="59"/>
      <c r="C22" s="60"/>
      <c r="D22" s="74"/>
      <c r="E22" s="74"/>
      <c r="F22" s="74"/>
      <c r="G22" s="74"/>
      <c r="H22" s="74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>
      <c r="A23" s="185" t="s">
        <v>203</v>
      </c>
      <c r="B23" s="142" t="s">
        <v>233</v>
      </c>
      <c r="C23" s="186" t="s">
        <v>234</v>
      </c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>
      <c r="A24" s="188">
        <v>2025.0</v>
      </c>
      <c r="B24" s="205">
        <v>5.79</v>
      </c>
      <c r="C24" s="212">
        <v>5.41</v>
      </c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>
      <c r="A25" s="188">
        <v>2026.0</v>
      </c>
      <c r="B25" s="205">
        <v>6.37</v>
      </c>
      <c r="C25" s="212">
        <v>5.56</v>
      </c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>
      <c r="A26" s="188">
        <v>2027.0</v>
      </c>
      <c r="B26" s="205">
        <v>7.01</v>
      </c>
      <c r="C26" s="212">
        <v>5.72</v>
      </c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>
      <c r="A27" s="188">
        <v>2028.0</v>
      </c>
      <c r="B27" s="205">
        <v>7.71</v>
      </c>
      <c r="C27" s="212">
        <v>5.88</v>
      </c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>
      <c r="A28" s="192">
        <v>2029.0</v>
      </c>
      <c r="B28" s="213">
        <v>8.48</v>
      </c>
      <c r="C28" s="214">
        <v>6.04</v>
      </c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>
      <c r="A29" s="188" t="s">
        <v>216</v>
      </c>
      <c r="B29" s="85"/>
      <c r="C29" s="212">
        <f>SUM(C24:C28)</f>
        <v>28.61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>
      <c r="A30" s="188" t="s">
        <v>247</v>
      </c>
      <c r="B30" s="85"/>
      <c r="C30" s="197">
        <v>193.2</v>
      </c>
      <c r="D30" s="85"/>
      <c r="E30" s="85"/>
      <c r="F30" s="142"/>
      <c r="G30" s="19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>
      <c r="A31" s="192" t="s">
        <v>248</v>
      </c>
      <c r="B31" s="215"/>
      <c r="C31" s="199">
        <v>135.4</v>
      </c>
      <c r="D31" s="85"/>
      <c r="E31" s="201" t="s">
        <v>249</v>
      </c>
      <c r="F31" s="202">
        <v>0.03</v>
      </c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>
      <c r="A32" s="188" t="s">
        <v>218</v>
      </c>
      <c r="B32" s="85"/>
      <c r="C32" s="197">
        <v>164.0</v>
      </c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>
      <c r="A33" s="192" t="s">
        <v>250</v>
      </c>
      <c r="B33" s="215"/>
      <c r="C33" s="199">
        <v>23.16</v>
      </c>
      <c r="D33" s="85"/>
      <c r="E33" s="85"/>
      <c r="F33" s="20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>
      <c r="A34" s="216" t="s">
        <v>251</v>
      </c>
      <c r="B34" s="217"/>
      <c r="C34" s="214">
        <v>140.8</v>
      </c>
      <c r="D34" s="85"/>
      <c r="E34" s="85"/>
      <c r="F34" s="85"/>
      <c r="G34" s="205" t="s">
        <v>50</v>
      </c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>
      <c r="A35" s="188" t="s">
        <v>252</v>
      </c>
      <c r="B35" s="85"/>
      <c r="C35" s="212">
        <v>1.14</v>
      </c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>
      <c r="A36" s="218" t="s">
        <v>253</v>
      </c>
      <c r="B36" s="219"/>
      <c r="C36" s="220">
        <v>123.5</v>
      </c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>
      <c r="A40" s="221" t="s">
        <v>254</v>
      </c>
      <c r="B40" s="59"/>
      <c r="C40" s="59"/>
      <c r="D40" s="59"/>
      <c r="E40" s="222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>
      <c r="A41" s="223"/>
      <c r="B41" s="222" t="s">
        <v>255</v>
      </c>
      <c r="C41" s="222" t="s">
        <v>256</v>
      </c>
      <c r="D41" s="224" t="s">
        <v>257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>
      <c r="A42" s="227" t="s">
        <v>1</v>
      </c>
      <c r="B42" s="228">
        <f>C36</f>
        <v>123.5</v>
      </c>
      <c r="C42" s="229">
        <v>85.0</v>
      </c>
      <c r="D42" s="230" t="s">
        <v>258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</row>
    <row r="100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</row>
    <row r="1002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  <c r="AA1002" s="85"/>
    </row>
    <row r="1003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  <c r="AA1003" s="85"/>
    </row>
  </sheetData>
  <mergeCells count="5">
    <mergeCell ref="A1:G1"/>
    <mergeCell ref="A8:F8"/>
    <mergeCell ref="A16:D16"/>
    <mergeCell ref="A22:C22"/>
    <mergeCell ref="A40:D4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17.0"/>
    <col customWidth="1" min="3" max="3" width="22.25"/>
    <col customWidth="1" min="4" max="4" width="33.0"/>
    <col customWidth="1" min="5" max="5" width="18.63"/>
    <col customWidth="1" min="6" max="6" width="20.5"/>
    <col customWidth="1" min="9" max="9" width="12.25"/>
  </cols>
  <sheetData>
    <row r="1">
      <c r="A1" s="190" t="s">
        <v>228</v>
      </c>
      <c r="B1" s="59"/>
      <c r="C1" s="59"/>
      <c r="D1" s="59"/>
      <c r="E1" s="59"/>
      <c r="F1" s="59"/>
      <c r="G1" s="60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185" t="s">
        <v>203</v>
      </c>
      <c r="B2" s="142" t="s">
        <v>204</v>
      </c>
      <c r="C2" s="142" t="s">
        <v>223</v>
      </c>
      <c r="D2" s="142" t="s">
        <v>224</v>
      </c>
      <c r="E2" s="142" t="s">
        <v>225</v>
      </c>
      <c r="F2" s="142" t="s">
        <v>229</v>
      </c>
      <c r="G2" s="186" t="s">
        <v>227</v>
      </c>
      <c r="H2" s="187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188">
        <v>2021.0</v>
      </c>
      <c r="B3" s="189">
        <v>19.2</v>
      </c>
      <c r="C3" s="189">
        <v>4.7</v>
      </c>
      <c r="D3" s="189">
        <v>1.6</v>
      </c>
      <c r="E3" s="189">
        <v>2.0</v>
      </c>
      <c r="F3" s="189">
        <v>0.2</v>
      </c>
      <c r="G3" s="191">
        <f t="shared" ref="G3:G6" si="1">C3+D3-E3-F3</f>
        <v>4.1</v>
      </c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188">
        <v>2022.0</v>
      </c>
      <c r="B4" s="189">
        <v>23.2</v>
      </c>
      <c r="C4" s="189">
        <v>6.0</v>
      </c>
      <c r="D4" s="189">
        <v>1.8</v>
      </c>
      <c r="E4" s="189">
        <v>2.2</v>
      </c>
      <c r="F4" s="189">
        <v>0.3</v>
      </c>
      <c r="G4" s="191">
        <f t="shared" si="1"/>
        <v>5.3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188">
        <v>2023.0</v>
      </c>
      <c r="B5" s="189">
        <v>26.0</v>
      </c>
      <c r="C5" s="189">
        <v>6.5</v>
      </c>
      <c r="D5" s="189">
        <v>2.0</v>
      </c>
      <c r="E5" s="189">
        <v>2.3</v>
      </c>
      <c r="F5" s="189">
        <v>0.3</v>
      </c>
      <c r="G5" s="191">
        <f t="shared" si="1"/>
        <v>5.9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192">
        <v>2024.0</v>
      </c>
      <c r="B6" s="193">
        <v>28.7</v>
      </c>
      <c r="C6" s="193">
        <v>7.3</v>
      </c>
      <c r="D6" s="193">
        <v>2.1</v>
      </c>
      <c r="E6" s="193">
        <v>2.5</v>
      </c>
      <c r="F6" s="193">
        <v>0.3</v>
      </c>
      <c r="G6" s="194">
        <f t="shared" si="1"/>
        <v>6.6</v>
      </c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190" t="s">
        <v>235</v>
      </c>
      <c r="B8" s="59"/>
      <c r="C8" s="59"/>
      <c r="D8" s="59"/>
      <c r="E8" s="60"/>
      <c r="F8" s="74"/>
      <c r="G8" s="74"/>
      <c r="H8" s="85"/>
      <c r="I8" s="142"/>
      <c r="J8" s="19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185" t="s">
        <v>203</v>
      </c>
      <c r="B9" s="142" t="s">
        <v>204</v>
      </c>
      <c r="C9" s="142" t="s">
        <v>232</v>
      </c>
      <c r="D9" s="142" t="s">
        <v>233</v>
      </c>
      <c r="E9" s="186" t="s">
        <v>234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188">
        <v>2025.0</v>
      </c>
      <c r="B10" s="189">
        <v>30.0</v>
      </c>
      <c r="C10" s="187">
        <v>0.15</v>
      </c>
      <c r="D10" s="196">
        <f t="shared" ref="D10:D14" si="2">B10*C10</f>
        <v>4.5</v>
      </c>
      <c r="E10" s="197">
        <v>4.19</v>
      </c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188">
        <v>2026.0</v>
      </c>
      <c r="B11" s="189">
        <v>31.5</v>
      </c>
      <c r="C11" s="187">
        <v>0.15</v>
      </c>
      <c r="D11" s="196">
        <f t="shared" si="2"/>
        <v>4.725</v>
      </c>
      <c r="E11" s="197">
        <v>4.23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188">
        <v>2027.0</v>
      </c>
      <c r="B12" s="189">
        <v>33.1</v>
      </c>
      <c r="C12" s="187">
        <v>0.15</v>
      </c>
      <c r="D12" s="196">
        <f t="shared" si="2"/>
        <v>4.965</v>
      </c>
      <c r="E12" s="197">
        <v>4.28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188">
        <v>2028.0</v>
      </c>
      <c r="B13" s="189">
        <v>34.8</v>
      </c>
      <c r="C13" s="187">
        <v>0.15</v>
      </c>
      <c r="D13" s="196">
        <f t="shared" si="2"/>
        <v>5.22</v>
      </c>
      <c r="E13" s="197">
        <v>4.33</v>
      </c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192">
        <v>2029.0</v>
      </c>
      <c r="B14" s="193">
        <v>36.5</v>
      </c>
      <c r="C14" s="200">
        <v>0.15</v>
      </c>
      <c r="D14" s="198">
        <f t="shared" si="2"/>
        <v>5.475</v>
      </c>
      <c r="E14" s="199">
        <v>4.37</v>
      </c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190" t="s">
        <v>238</v>
      </c>
      <c r="B16" s="59"/>
      <c r="C16" s="59"/>
      <c r="D16" s="60"/>
      <c r="E16" s="85"/>
      <c r="F16" s="203" t="s">
        <v>237</v>
      </c>
      <c r="G16" s="204">
        <v>0.25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185" t="s">
        <v>239</v>
      </c>
      <c r="B17" s="142" t="s">
        <v>240</v>
      </c>
      <c r="C17" s="142" t="s">
        <v>241</v>
      </c>
      <c r="D17" s="186" t="s">
        <v>242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188" t="s">
        <v>243</v>
      </c>
      <c r="B18" s="205">
        <v>80.0</v>
      </c>
      <c r="C18" s="205">
        <v>8.0</v>
      </c>
      <c r="D18" s="206">
        <f>B18*C18/100</f>
        <v>6.4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88" t="s">
        <v>244</v>
      </c>
      <c r="B19" s="205">
        <v>20.0</v>
      </c>
      <c r="C19" s="205">
        <v>4.4</v>
      </c>
      <c r="D19" s="206">
        <f>(((B19*C19/100))*(1-G16))</f>
        <v>0.66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209" t="s">
        <v>199</v>
      </c>
      <c r="B20" s="210"/>
      <c r="C20" s="210"/>
      <c r="D20" s="211">
        <f>SUM(D18:D19)</f>
        <v>7.06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190" t="s">
        <v>246</v>
      </c>
      <c r="B22" s="59"/>
      <c r="C22" s="60"/>
      <c r="D22" s="74"/>
      <c r="E22" s="74"/>
      <c r="F22" s="74"/>
      <c r="G22" s="74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185" t="s">
        <v>203</v>
      </c>
      <c r="B23" s="142" t="s">
        <v>233</v>
      </c>
      <c r="C23" s="186" t="s">
        <v>234</v>
      </c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188">
        <v>2025.0</v>
      </c>
      <c r="B24" s="196">
        <f t="shared" ref="B24:C24" si="3">D10</f>
        <v>4.5</v>
      </c>
      <c r="C24" s="191">
        <f t="shared" si="3"/>
        <v>4.19</v>
      </c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188">
        <v>2026.0</v>
      </c>
      <c r="B25" s="196">
        <f t="shared" ref="B25:C25" si="4">D11</f>
        <v>4.725</v>
      </c>
      <c r="C25" s="191">
        <f t="shared" si="4"/>
        <v>4.23</v>
      </c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188">
        <v>2027.0</v>
      </c>
      <c r="B26" s="196">
        <f t="shared" ref="B26:C26" si="5">D12</f>
        <v>4.965</v>
      </c>
      <c r="C26" s="191">
        <f t="shared" si="5"/>
        <v>4.28</v>
      </c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188">
        <v>2028.0</v>
      </c>
      <c r="B27" s="196">
        <f t="shared" ref="B27:C27" si="6">D13</f>
        <v>5.22</v>
      </c>
      <c r="C27" s="191">
        <f t="shared" si="6"/>
        <v>4.33</v>
      </c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192">
        <v>2029.0</v>
      </c>
      <c r="B28" s="198">
        <f t="shared" ref="B28:C28" si="7">D14</f>
        <v>5.475</v>
      </c>
      <c r="C28" s="194">
        <f t="shared" si="7"/>
        <v>4.37</v>
      </c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188" t="s">
        <v>216</v>
      </c>
      <c r="B29" s="85"/>
      <c r="C29" s="212">
        <v>21.4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188" t="s">
        <v>247</v>
      </c>
      <c r="B30" s="85"/>
      <c r="C30" s="212">
        <v>134.4</v>
      </c>
      <c r="D30" s="85"/>
      <c r="E30" s="142"/>
      <c r="F30" s="19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192" t="s">
        <v>248</v>
      </c>
      <c r="B31" s="215"/>
      <c r="C31" s="214">
        <v>93.9</v>
      </c>
      <c r="D31" s="85"/>
      <c r="E31" s="203" t="s">
        <v>249</v>
      </c>
      <c r="F31" s="204">
        <v>0.03</v>
      </c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188" t="s">
        <v>218</v>
      </c>
      <c r="B32" s="85"/>
      <c r="C32" s="212">
        <v>115.3</v>
      </c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192" t="s">
        <v>250</v>
      </c>
      <c r="B33" s="215"/>
      <c r="C33" s="214">
        <v>53.43</v>
      </c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216" t="s">
        <v>251</v>
      </c>
      <c r="B34" s="217"/>
      <c r="C34" s="214">
        <v>61.9</v>
      </c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188" t="s">
        <v>252</v>
      </c>
      <c r="B35" s="85"/>
      <c r="C35" s="212">
        <v>0.712</v>
      </c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209" t="s">
        <v>253</v>
      </c>
      <c r="B36" s="225" t="str">
        <f>E21</f>
        <v/>
      </c>
      <c r="C36" s="226">
        <v>86.9</v>
      </c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231" t="s">
        <v>254</v>
      </c>
      <c r="B39" s="59"/>
      <c r="C39" s="59"/>
      <c r="D39" s="60"/>
      <c r="E39" s="232"/>
      <c r="F39" s="232"/>
      <c r="G39" s="232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223"/>
      <c r="B40" s="222" t="s">
        <v>255</v>
      </c>
      <c r="C40" s="222" t="s">
        <v>256</v>
      </c>
      <c r="D40" s="224" t="s">
        <v>257</v>
      </c>
      <c r="E40" s="232"/>
      <c r="F40" s="232"/>
      <c r="G40" s="232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233" t="s">
        <v>0</v>
      </c>
      <c r="B41" s="234">
        <f>C36</f>
        <v>86.9</v>
      </c>
      <c r="C41" s="234">
        <v>310.0</v>
      </c>
      <c r="D41" s="235" t="s">
        <v>259</v>
      </c>
      <c r="E41" s="232"/>
      <c r="F41" s="232"/>
      <c r="G41" s="232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222"/>
      <c r="B42" s="222"/>
      <c r="C42" s="222"/>
      <c r="D42" s="222"/>
      <c r="E42" s="232"/>
      <c r="F42" s="232"/>
      <c r="G42" s="232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205" t="s">
        <v>50</v>
      </c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</sheetData>
  <mergeCells count="5">
    <mergeCell ref="A1:G1"/>
    <mergeCell ref="A8:E8"/>
    <mergeCell ref="A16:D16"/>
    <mergeCell ref="A22:C22"/>
    <mergeCell ref="A39:D3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5" t="s">
        <v>203</v>
      </c>
      <c r="B1" s="135" t="s">
        <v>260</v>
      </c>
      <c r="C1" s="135" t="s">
        <v>1</v>
      </c>
    </row>
    <row r="2">
      <c r="A2" s="135">
        <v>2022.0</v>
      </c>
      <c r="B2" s="135">
        <v>1.03</v>
      </c>
      <c r="C2" s="135">
        <v>1.29</v>
      </c>
    </row>
    <row r="3">
      <c r="A3" s="135">
        <v>2023.0</v>
      </c>
      <c r="B3" s="135">
        <v>1.02</v>
      </c>
      <c r="C3" s="135">
        <v>1.21</v>
      </c>
    </row>
    <row r="4">
      <c r="A4" s="135">
        <v>2024.0</v>
      </c>
      <c r="B4" s="135">
        <v>1.02</v>
      </c>
      <c r="C4" s="135">
        <v>1.3</v>
      </c>
    </row>
    <row r="9">
      <c r="H9" s="135" t="s">
        <v>203</v>
      </c>
      <c r="I9" s="135" t="s">
        <v>260</v>
      </c>
      <c r="J9" s="135" t="s">
        <v>1</v>
      </c>
    </row>
    <row r="10">
      <c r="H10" s="135">
        <v>2022.0</v>
      </c>
      <c r="I10" s="135">
        <v>46.07</v>
      </c>
      <c r="J10" s="135">
        <v>14.32</v>
      </c>
    </row>
    <row r="11">
      <c r="H11" s="135">
        <v>2023.0</v>
      </c>
      <c r="I11" s="135">
        <v>45.73</v>
      </c>
      <c r="J11" s="135">
        <v>16.32</v>
      </c>
    </row>
    <row r="12">
      <c r="H12" s="135">
        <v>2024.0</v>
      </c>
      <c r="I12" s="135">
        <v>46.13</v>
      </c>
      <c r="J12" s="135">
        <v>14.95</v>
      </c>
    </row>
    <row r="24">
      <c r="A24" s="135" t="s">
        <v>203</v>
      </c>
      <c r="B24" s="135" t="s">
        <v>260</v>
      </c>
      <c r="C24" s="135" t="s">
        <v>1</v>
      </c>
    </row>
    <row r="25">
      <c r="A25" s="135">
        <v>2022.0</v>
      </c>
      <c r="B25" s="135">
        <v>0.05</v>
      </c>
      <c r="C25" s="135">
        <v>0.51</v>
      </c>
    </row>
    <row r="26">
      <c r="A26" s="135">
        <v>2023.0</v>
      </c>
      <c r="B26" s="135">
        <v>0.08</v>
      </c>
      <c r="C26" s="135">
        <v>0.45</v>
      </c>
    </row>
    <row r="27">
      <c r="A27" s="135">
        <v>2024.0</v>
      </c>
      <c r="B27" s="135">
        <v>0.02</v>
      </c>
      <c r="C27" s="135">
        <v>0.53</v>
      </c>
    </row>
    <row r="29">
      <c r="H29" s="135" t="s">
        <v>203</v>
      </c>
      <c r="I29" s="135" t="s">
        <v>260</v>
      </c>
      <c r="J29" s="135" t="s">
        <v>1</v>
      </c>
    </row>
    <row r="30">
      <c r="H30" s="135">
        <v>2022.0</v>
      </c>
      <c r="I30" s="135">
        <v>39.58</v>
      </c>
      <c r="J30" s="135">
        <v>28.76</v>
      </c>
    </row>
    <row r="31">
      <c r="H31" s="135">
        <v>2023.0</v>
      </c>
      <c r="I31" s="135">
        <v>34.6</v>
      </c>
      <c r="J31" s="135">
        <v>28.8</v>
      </c>
    </row>
    <row r="32">
      <c r="H32" s="135">
        <v>2024.0</v>
      </c>
      <c r="I32" s="135">
        <v>36.43</v>
      </c>
      <c r="J32" s="135">
        <v>26.15</v>
      </c>
    </row>
    <row r="36">
      <c r="A36" s="135" t="s">
        <v>203</v>
      </c>
      <c r="B36" s="135" t="s">
        <v>260</v>
      </c>
      <c r="C36" s="135" t="s">
        <v>1</v>
      </c>
      <c r="H36" s="135" t="s">
        <v>203</v>
      </c>
      <c r="I36" s="135" t="s">
        <v>260</v>
      </c>
      <c r="J36" s="135" t="s">
        <v>1</v>
      </c>
    </row>
    <row r="37">
      <c r="A37" s="135">
        <v>2022.0</v>
      </c>
      <c r="B37" s="135">
        <v>0.46</v>
      </c>
      <c r="C37" s="135">
        <v>1.8</v>
      </c>
      <c r="H37" s="135">
        <v>2022.0</v>
      </c>
      <c r="I37" s="135">
        <v>57.12</v>
      </c>
      <c r="J37" s="135">
        <v>25.9</v>
      </c>
    </row>
    <row r="38">
      <c r="A38" s="135">
        <v>2023.0</v>
      </c>
      <c r="B38" s="135">
        <v>0.45</v>
      </c>
      <c r="C38" s="135">
        <v>1.9</v>
      </c>
      <c r="H38" s="135">
        <v>2023.0</v>
      </c>
      <c r="I38" s="135">
        <v>56.75</v>
      </c>
      <c r="J38" s="135">
        <v>27.4</v>
      </c>
    </row>
    <row r="39">
      <c r="A39" s="135">
        <v>2024.0</v>
      </c>
      <c r="B39" s="135">
        <v>0.47</v>
      </c>
      <c r="C39" s="135">
        <v>1.76</v>
      </c>
      <c r="H39" s="135">
        <v>2024.0</v>
      </c>
      <c r="I39" s="135">
        <v>57.43</v>
      </c>
      <c r="J39" s="135">
        <v>26.8</v>
      </c>
    </row>
    <row r="50">
      <c r="B50" s="135" t="s">
        <v>203</v>
      </c>
      <c r="C50" s="135" t="s">
        <v>260</v>
      </c>
      <c r="D50" s="135" t="s">
        <v>1</v>
      </c>
    </row>
    <row r="51">
      <c r="B51" s="135">
        <v>2022.0</v>
      </c>
      <c r="C51" s="135">
        <v>33.22</v>
      </c>
      <c r="D51" s="135">
        <v>10.2</v>
      </c>
    </row>
    <row r="52">
      <c r="B52" s="135">
        <v>2023.0</v>
      </c>
      <c r="C52" s="135">
        <v>31.72</v>
      </c>
      <c r="D52" s="135">
        <v>11.5</v>
      </c>
    </row>
    <row r="53">
      <c r="B53" s="135">
        <v>2024.0</v>
      </c>
      <c r="C53" s="135">
        <v>32.04</v>
      </c>
      <c r="D53" s="135">
        <v>10.4</v>
      </c>
    </row>
    <row r="57">
      <c r="H57" s="135" t="s">
        <v>203</v>
      </c>
      <c r="I57" s="135" t="s">
        <v>260</v>
      </c>
      <c r="J57" s="135" t="s">
        <v>1</v>
      </c>
    </row>
    <row r="58">
      <c r="H58" s="135">
        <v>2022.0</v>
      </c>
      <c r="I58" s="135">
        <v>7.74</v>
      </c>
      <c r="J58" s="135">
        <v>9.56</v>
      </c>
    </row>
    <row r="59">
      <c r="H59" s="135">
        <v>2023.0</v>
      </c>
      <c r="I59" s="135">
        <v>7.77</v>
      </c>
      <c r="J59" s="135">
        <v>10.67</v>
      </c>
    </row>
    <row r="60">
      <c r="H60" s="135">
        <v>2024.0</v>
      </c>
      <c r="I60" s="135">
        <v>7.8</v>
      </c>
      <c r="J60" s="135">
        <v>9.62</v>
      </c>
    </row>
    <row r="63">
      <c r="A63" s="135" t="s">
        <v>203</v>
      </c>
      <c r="B63" s="135" t="s">
        <v>260</v>
      </c>
      <c r="C63" s="135" t="s">
        <v>1</v>
      </c>
    </row>
    <row r="64">
      <c r="A64" s="135">
        <v>2022.0</v>
      </c>
      <c r="B64" s="135">
        <v>12.25</v>
      </c>
      <c r="C64" s="135">
        <v>18.28</v>
      </c>
    </row>
    <row r="65">
      <c r="A65" s="135">
        <v>2023.0</v>
      </c>
      <c r="B65" s="135">
        <v>15.09</v>
      </c>
      <c r="C65" s="135">
        <v>21.75</v>
      </c>
    </row>
    <row r="66">
      <c r="A66" s="135">
        <v>2024.0</v>
      </c>
      <c r="B66" s="135">
        <v>15.26</v>
      </c>
      <c r="C66" s="135">
        <v>18.27</v>
      </c>
    </row>
    <row r="79">
      <c r="E79" s="135" t="s">
        <v>203</v>
      </c>
      <c r="F79" s="135" t="s">
        <v>260</v>
      </c>
      <c r="G79" s="135" t="s">
        <v>1</v>
      </c>
    </row>
    <row r="80">
      <c r="E80" s="135">
        <v>2022.0</v>
      </c>
      <c r="F80" s="135">
        <v>8.33</v>
      </c>
      <c r="G80" s="135">
        <v>2.83</v>
      </c>
    </row>
    <row r="81">
      <c r="E81" s="135">
        <v>2023.0</v>
      </c>
      <c r="F81" s="135">
        <v>11.56</v>
      </c>
      <c r="G81" s="135">
        <v>3.58</v>
      </c>
    </row>
    <row r="82">
      <c r="E82" s="135">
        <v>2024.0</v>
      </c>
      <c r="F82" s="135">
        <v>11.39</v>
      </c>
      <c r="G82" s="135">
        <v>3.31</v>
      </c>
    </row>
    <row r="107">
      <c r="A107" s="135" t="s">
        <v>203</v>
      </c>
      <c r="B107" s="135" t="s">
        <v>260</v>
      </c>
      <c r="C107" s="135" t="s">
        <v>1</v>
      </c>
      <c r="L107" s="135" t="s">
        <v>203</v>
      </c>
      <c r="M107" s="135" t="s">
        <v>260</v>
      </c>
      <c r="N107" s="135" t="s">
        <v>1</v>
      </c>
    </row>
    <row r="108">
      <c r="A108" s="135">
        <v>2022.0</v>
      </c>
      <c r="B108" s="163">
        <v>191.83</v>
      </c>
      <c r="C108" s="163">
        <v>17.08</v>
      </c>
      <c r="D108" s="163"/>
      <c r="L108" s="135">
        <v>2022.0</v>
      </c>
      <c r="M108" s="135">
        <v>-102.89</v>
      </c>
      <c r="N108" s="135">
        <v>48.0</v>
      </c>
    </row>
    <row r="109">
      <c r="A109" s="135">
        <v>2023.0</v>
      </c>
      <c r="B109" s="163">
        <v>206.25</v>
      </c>
      <c r="C109" s="163">
        <v>17.1</v>
      </c>
      <c r="D109" s="163"/>
      <c r="L109" s="135">
        <v>2023.0</v>
      </c>
      <c r="M109" s="135">
        <v>-179.97</v>
      </c>
      <c r="N109" s="135">
        <v>59.9</v>
      </c>
    </row>
    <row r="110">
      <c r="A110" s="135">
        <v>2024.0</v>
      </c>
      <c r="B110" s="163">
        <v>208.01</v>
      </c>
      <c r="C110" s="163">
        <v>16.74</v>
      </c>
      <c r="D110" s="163"/>
      <c r="L110" s="135">
        <v>2024.0</v>
      </c>
      <c r="M110" s="135">
        <v>-222.84</v>
      </c>
      <c r="N110" s="135">
        <v>49.6</v>
      </c>
    </row>
    <row r="119">
      <c r="F119" s="135" t="s">
        <v>203</v>
      </c>
      <c r="G119" s="135" t="s">
        <v>260</v>
      </c>
      <c r="H119" s="135" t="s">
        <v>1</v>
      </c>
    </row>
    <row r="120">
      <c r="F120" s="135">
        <v>2022.0</v>
      </c>
      <c r="G120" s="135">
        <v>1.75</v>
      </c>
      <c r="H120" s="135">
        <v>1.94</v>
      </c>
    </row>
    <row r="121">
      <c r="F121" s="135">
        <v>2023.0</v>
      </c>
      <c r="G121" s="135">
        <v>2.26</v>
      </c>
      <c r="H121" s="135">
        <v>1.4</v>
      </c>
    </row>
    <row r="122">
      <c r="F122" s="135">
        <v>2024.0</v>
      </c>
      <c r="G122" s="135">
        <v>2.2</v>
      </c>
      <c r="H122" s="135">
        <v>2.45</v>
      </c>
    </row>
    <row r="129">
      <c r="H129" s="135" t="s">
        <v>203</v>
      </c>
      <c r="I129" s="135" t="s">
        <v>260</v>
      </c>
      <c r="J129" s="135" t="s">
        <v>1</v>
      </c>
    </row>
    <row r="130">
      <c r="H130" s="135">
        <v>2022.0</v>
      </c>
      <c r="I130" s="135">
        <v>0.97</v>
      </c>
      <c r="J130" s="135">
        <v>0.32</v>
      </c>
    </row>
    <row r="131">
      <c r="H131" s="135">
        <v>2023.0</v>
      </c>
      <c r="I131" s="135">
        <v>0.95</v>
      </c>
      <c r="J131" s="135">
        <v>0.33</v>
      </c>
    </row>
    <row r="132">
      <c r="H132" s="135">
        <v>2024.0</v>
      </c>
      <c r="I132" s="135">
        <v>0.94</v>
      </c>
      <c r="J132" s="135">
        <v>0.33</v>
      </c>
    </row>
    <row r="142">
      <c r="A142" s="135" t="s">
        <v>203</v>
      </c>
      <c r="B142" s="135" t="s">
        <v>260</v>
      </c>
      <c r="C142" s="135" t="s">
        <v>1</v>
      </c>
    </row>
    <row r="143">
      <c r="A143" s="135">
        <v>2022.0</v>
      </c>
      <c r="B143" s="135">
        <v>-9.41</v>
      </c>
      <c r="C143" s="135">
        <v>1.63</v>
      </c>
    </row>
    <row r="144">
      <c r="A144" s="135">
        <v>2023.0</v>
      </c>
      <c r="B144" s="135">
        <v>-12.92</v>
      </c>
      <c r="C144" s="135">
        <v>1.75</v>
      </c>
    </row>
    <row r="145">
      <c r="A145" s="135">
        <v>2024.0</v>
      </c>
      <c r="B145" s="135">
        <v>-15.54</v>
      </c>
      <c r="C145" s="135">
        <v>1.72</v>
      </c>
    </row>
    <row r="154">
      <c r="D154" s="135" t="s">
        <v>203</v>
      </c>
      <c r="E154" s="135" t="s">
        <v>260</v>
      </c>
      <c r="F154" s="135" t="s">
        <v>1</v>
      </c>
    </row>
    <row r="155">
      <c r="D155" s="135">
        <v>2022.0</v>
      </c>
      <c r="E155" s="135">
        <v>22.97</v>
      </c>
      <c r="F155" s="135">
        <v>17.7</v>
      </c>
    </row>
    <row r="156">
      <c r="D156" s="135">
        <v>2023.0</v>
      </c>
      <c r="E156" s="135">
        <v>24.22</v>
      </c>
      <c r="F156" s="135">
        <v>14.0</v>
      </c>
    </row>
    <row r="157">
      <c r="D157" s="135">
        <v>2024.0</v>
      </c>
      <c r="E157" s="135">
        <v>26.9</v>
      </c>
      <c r="F157" s="135">
        <v>15.1</v>
      </c>
    </row>
    <row r="164">
      <c r="E164" s="135" t="s">
        <v>203</v>
      </c>
      <c r="F164" s="135" t="s">
        <v>260</v>
      </c>
      <c r="G164" s="135" t="s">
        <v>1</v>
      </c>
    </row>
    <row r="165">
      <c r="E165" s="135">
        <v>2022.0</v>
      </c>
      <c r="F165" s="135">
        <v>-13.1</v>
      </c>
      <c r="G165" s="135">
        <v>8.49</v>
      </c>
    </row>
    <row r="166">
      <c r="E166" s="135">
        <v>2023.0</v>
      </c>
      <c r="F166" s="135">
        <v>-18.7</v>
      </c>
      <c r="G166" s="135">
        <v>8.36</v>
      </c>
    </row>
    <row r="167">
      <c r="E167" s="135">
        <v>2024.0</v>
      </c>
      <c r="F167" s="135">
        <v>-25.04</v>
      </c>
      <c r="G167" s="135">
        <v>7.5</v>
      </c>
    </row>
  </sheetData>
  <drawing r:id="rId1"/>
</worksheet>
</file>